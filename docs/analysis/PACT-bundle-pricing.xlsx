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Per-spell working" sheetId="2" state="visible" r:id="rId2"/>
    <sheet name="Bundles" sheetId="3" state="visible" r:id="rId3"/>
    <sheet name="Price path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1"/>
    </font>
    <font>
      <name val="Arial"/>
      <color rgb="00008000"/>
    </font>
    <font>
      <name val="Arial"/>
      <b val="1"/>
      <sz val="11"/>
    </font>
    <font>
      <name val="Arial"/>
      <color rgb="000000FF"/>
    </font>
    <font>
      <name val="Arial"/>
    </font>
    <font>
      <name val="Arial"/>
      <b val="1"/>
      <color rgb="00FFFFFF"/>
      <sz val="11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58180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center" wrapText="1"/>
    </xf>
    <xf numFmtId="0" fontId="6" fillId="0" borderId="1" pivotButton="0" quotePrefix="0" xfId="0"/>
    <xf numFmtId="0" fontId="5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0" borderId="1" pivotButton="0" quotePrefix="0" xfId="0"/>
    <xf numFmtId="0" fontId="1" fillId="0" borderId="0" pivotButton="0" quotePrefix="0" xfId="0"/>
    <xf numFmtId="0" fontId="7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showGridLines="0" workbookViewId="0">
      <selection activeCell="A1" sqref="A1"/>
    </sheetView>
  </sheetViews>
  <sheetFormatPr baseColWidth="8" defaultRowHeight="15"/>
  <cols>
    <col width="104" customWidth="1" min="1" max="1"/>
    <col width="14" customWidth="1" min="2" max="2"/>
  </cols>
  <sheetData>
    <row r="1">
      <c r="A1" s="1" t="inlineStr">
        <is>
          <t>PACT - how a subclass bonus-spell bundle is priced</t>
        </is>
      </c>
    </row>
    <row r="3">
      <c r="A3" s="2" t="inlineStr">
        <is>
          <t>Engine rules version (js/engine-data.js)</t>
        </is>
      </c>
      <c r="B3" s="3" t="inlineStr">
        <is>
          <t>v0.346</t>
        </is>
      </c>
    </row>
    <row r="5">
      <c r="A5" s="4" t="inlineStr">
        <is>
          <t>READ THIS FIRST - is the origin discount applied twice?</t>
        </is>
      </c>
    </row>
    <row r="6">
      <c r="A6" s="2" t="inlineStr">
        <is>
          <t>No. A bundle is charged with ONE lookup: engine.js line 341 does `_isO ? bundle.origin : bundle.cross`.</t>
        </is>
      </c>
    </row>
    <row r="7">
      <c r="A7" s="2" t="inlineStr">
        <is>
          <t>It picks one of two stored numbers. It never takes a stored number and subtracts a discount from it,</t>
        </is>
      </c>
    </row>
    <row r="8">
      <c r="A8" s="2" t="inlineStr">
        <is>
          <t>so there is no second application to be had. The discount is applied once, when the stored `origin`</t>
        </is>
      </c>
    </row>
    <row r="9">
      <c r="A9" s="2" t="inlineStr">
        <is>
          <t>figure was derived - that derivation is what the 'Per-spell working' sheet reproduces.</t>
        </is>
      </c>
    </row>
    <row r="10">
      <c r="A10" s="2" t="inlineStr"/>
    </row>
    <row r="11">
      <c r="A11" s="2" t="inlineStr">
        <is>
          <t>What DOES look like a doubled discount, and isn't: column 3 of the guide's ability tables is headed</t>
        </is>
      </c>
    </row>
    <row r="12">
      <c r="A12" s="2" t="inlineStr">
        <is>
          <t>'Sticker (Origin)'. For an ordinary class feature the sticker is already reduced - sticker = cross - tier.</t>
        </is>
      </c>
    </row>
    <row r="13">
      <c r="A13" s="2" t="inlineStr">
        <is>
          <t>For a bundle there is no tier, so nothing is subtracted and the sticker equals the full cross price.</t>
        </is>
      </c>
    </row>
    <row r="14">
      <c r="A14" s="2" t="inlineStr">
        <is>
          <t>Both are the same thing in meaning - 'what a non-origin member of that class pays' - but they are</t>
        </is>
      </c>
    </row>
    <row r="15">
      <c r="A15" s="2" t="inlineStr">
        <is>
          <t>reached differently, so the two row types look inconsistent side by side. See the 'Price paths' sheet,</t>
        </is>
      </c>
    </row>
    <row r="16">
      <c r="A16" s="2" t="inlineStr">
        <is>
          <t>which is verified against a real compute() run, not just read off the source.</t>
        </is>
      </c>
    </row>
    <row r="18">
      <c r="A18" s="4" t="inlineStr">
        <is>
          <t>Inputs (blue = hardcoded, green = read from the engine)</t>
        </is>
      </c>
    </row>
    <row r="19">
      <c r="A19" s="2" t="inlineStr">
        <is>
          <t>Origin discount, AP per spell</t>
        </is>
      </c>
      <c r="B19" s="5" t="n">
        <v>1</v>
      </c>
    </row>
    <row r="20">
      <c r="A20" s="2" t="inlineStr">
        <is>
          <t>Floor - no spell can cost less than this</t>
        </is>
      </c>
      <c r="B20" s="5" t="n">
        <v>1</v>
      </c>
    </row>
    <row r="21">
      <c r="A21" s="2" t="inlineStr">
        <is>
          <t>Cantrip granted by a bundle, flat AP each</t>
        </is>
      </c>
      <c r="B21" s="3" t="n">
        <v>4</v>
      </c>
    </row>
    <row r="23">
      <c r="A23" s="4" t="inlineStr">
        <is>
          <t>AP per spell known, by spell level (DATA.knownUnit)</t>
        </is>
      </c>
    </row>
    <row r="24">
      <c r="A24" s="6" t="inlineStr">
        <is>
          <t>Level 1</t>
        </is>
      </c>
      <c r="B24" s="3" t="n">
        <v>1</v>
      </c>
    </row>
    <row r="25">
      <c r="A25" s="6" t="inlineStr">
        <is>
          <t>Level 2</t>
        </is>
      </c>
      <c r="B25" s="3" t="n">
        <v>1</v>
      </c>
    </row>
    <row r="26">
      <c r="A26" s="6" t="inlineStr">
        <is>
          <t>Level 3</t>
        </is>
      </c>
      <c r="B26" s="3" t="n">
        <v>2</v>
      </c>
    </row>
    <row r="27">
      <c r="A27" s="6" t="inlineStr">
        <is>
          <t>Level 4</t>
        </is>
      </c>
      <c r="B27" s="3" t="n">
        <v>2</v>
      </c>
    </row>
    <row r="28">
      <c r="A28" s="6" t="inlineStr">
        <is>
          <t>Level 5</t>
        </is>
      </c>
      <c r="B28" s="3" t="n">
        <v>3</v>
      </c>
    </row>
    <row r="29">
      <c r="A29" s="6" t="inlineStr">
        <is>
          <t>Level 6</t>
        </is>
      </c>
      <c r="B29" s="3" t="n">
        <v>3</v>
      </c>
    </row>
    <row r="30">
      <c r="A30" s="6" t="inlineStr">
        <is>
          <t>Level 7</t>
        </is>
      </c>
      <c r="B30" s="3" t="n">
        <v>4</v>
      </c>
    </row>
    <row r="31">
      <c r="A31" s="6" t="inlineStr">
        <is>
          <t>Level 8</t>
        </is>
      </c>
      <c r="B31" s="3" t="n">
        <v>4</v>
      </c>
    </row>
    <row r="32">
      <c r="A32" s="6" t="inlineStr">
        <is>
          <t>Level 9</t>
        </is>
      </c>
      <c r="B32" s="3" t="n">
        <v>5</v>
      </c>
    </row>
    <row r="34">
      <c r="A34" s="4" t="inlineStr">
        <is>
          <t>Assumption you should check</t>
        </is>
      </c>
    </row>
    <row r="35">
      <c r="A35" s="2" t="inlineStr">
        <is>
          <t>The engine stores ONLY the lump price for each bundle. How many spells a bundle contains, and at</t>
        </is>
      </c>
    </row>
    <row r="36">
      <c r="A36" s="2" t="inlineStr">
        <is>
          <t>what levels, is NOT stored anywhere - it is reconstructed here from the guide's rule that a bundle</t>
        </is>
      </c>
    </row>
    <row r="37">
      <c r="A37" s="2" t="inlineStr">
        <is>
          <t>prices the spells granted at the subclass's first few grant levels. The reconstruction reproduces</t>
        </is>
      </c>
    </row>
    <row r="38">
      <c r="A38" s="2" t="inlineStr">
        <is>
          <t>16 of the 21 engine prices exactly, which is why it is trusted; the 5 it misses are flagged.</t>
        </is>
      </c>
    </row>
    <row r="39">
      <c r="A39" s="2" t="inlineStr">
        <is>
          <t>If a bundle's real spell list differs from the shape on the 'Bundles' sheet, edit columns D-G there</t>
        </is>
      </c>
    </row>
    <row r="40">
      <c r="A40" s="2" t="inlineStr">
        <is>
          <t>and every derived figure recalculates.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24" customWidth="1" min="3" max="3"/>
    <col width="26" customWidth="1" min="4" max="4"/>
    <col width="11" customWidth="1" min="5" max="5"/>
    <col width="13" customWidth="1" min="6" max="6"/>
    <col width="14" customWidth="1" min="7" max="7"/>
    <col width="12" customWidth="1" min="8" max="8"/>
  </cols>
  <sheetData>
    <row r="1">
      <c r="A1" s="7" t="inlineStr">
        <is>
          <t>Key</t>
        </is>
      </c>
      <c r="B1" s="7" t="inlineStr">
        <is>
          <t>Class</t>
        </is>
      </c>
      <c r="C1" s="7" t="inlineStr">
        <is>
          <t>Subclass</t>
        </is>
      </c>
      <c r="D1" s="7" t="inlineStr">
        <is>
          <t>Item</t>
        </is>
      </c>
      <c r="E1" s="7" t="inlineStr">
        <is>
          <t>Spell level</t>
        </is>
      </c>
      <c r="F1" s="7" t="inlineStr">
        <is>
          <t>Cross AP
(no discount)</t>
        </is>
      </c>
      <c r="G1" s="7" t="inlineStr">
        <is>
          <t>Origin AP
(-1, floored at 1)</t>
        </is>
      </c>
      <c r="H1" s="7" t="inlineStr">
        <is>
          <t>Discount saved</t>
        </is>
      </c>
    </row>
    <row r="2">
      <c r="A2" s="8" t="inlineStr">
        <is>
          <t>Cleric|Life Domain</t>
        </is>
      </c>
      <c r="B2" s="8" t="inlineStr">
        <is>
          <t>Cleric</t>
        </is>
      </c>
      <c r="C2" s="8" t="inlineStr">
        <is>
          <t>Life Domain</t>
        </is>
      </c>
      <c r="D2" s="8" t="inlineStr">
        <is>
          <t>Spell 1</t>
        </is>
      </c>
      <c r="E2" s="9" t="n">
        <v>1</v>
      </c>
      <c r="F2" s="8">
        <f>VLOOKUP("Level "&amp;E2,Model!$A$24:$B$32,2,FALSE)</f>
        <v/>
      </c>
      <c r="G2" s="8">
        <f>MAX(Model!$B$20,F2-Model!$B$19)</f>
        <v/>
      </c>
      <c r="H2" s="8">
        <f>F2-G2</f>
        <v/>
      </c>
    </row>
    <row r="3">
      <c r="A3" s="8" t="inlineStr">
        <is>
          <t>Cleric|Life Domain</t>
        </is>
      </c>
      <c r="B3" s="8" t="inlineStr">
        <is>
          <t>Cleric</t>
        </is>
      </c>
      <c r="C3" s="8" t="inlineStr">
        <is>
          <t>Life Domain</t>
        </is>
      </c>
      <c r="D3" s="8" t="inlineStr">
        <is>
          <t>Spell 2</t>
        </is>
      </c>
      <c r="E3" s="9" t="n">
        <v>1</v>
      </c>
      <c r="F3" s="8">
        <f>VLOOKUP("Level "&amp;E3,Model!$A$24:$B$32,2,FALSE)</f>
        <v/>
      </c>
      <c r="G3" s="8">
        <f>MAX(Model!$B$20,F3-Model!$B$19)</f>
        <v/>
      </c>
      <c r="H3" s="8">
        <f>F3-G3</f>
        <v/>
      </c>
    </row>
    <row r="4">
      <c r="A4" s="8" t="inlineStr">
        <is>
          <t>Cleric|Life Domain</t>
        </is>
      </c>
      <c r="B4" s="8" t="inlineStr">
        <is>
          <t>Cleric</t>
        </is>
      </c>
      <c r="C4" s="8" t="inlineStr">
        <is>
          <t>Life Domain</t>
        </is>
      </c>
      <c r="D4" s="8" t="inlineStr">
        <is>
          <t>Spell 3</t>
        </is>
      </c>
      <c r="E4" s="9" t="n">
        <v>2</v>
      </c>
      <c r="F4" s="8">
        <f>VLOOKUP("Level "&amp;E4,Model!$A$24:$B$32,2,FALSE)</f>
        <v/>
      </c>
      <c r="G4" s="8">
        <f>MAX(Model!$B$20,F4-Model!$B$19)</f>
        <v/>
      </c>
      <c r="H4" s="8">
        <f>F4-G4</f>
        <v/>
      </c>
    </row>
    <row r="5">
      <c r="A5" s="8" t="inlineStr">
        <is>
          <t>Cleric|Life Domain</t>
        </is>
      </c>
      <c r="B5" s="8" t="inlineStr">
        <is>
          <t>Cleric</t>
        </is>
      </c>
      <c r="C5" s="8" t="inlineStr">
        <is>
          <t>Life Domain</t>
        </is>
      </c>
      <c r="D5" s="8" t="inlineStr">
        <is>
          <t>Spell 4</t>
        </is>
      </c>
      <c r="E5" s="9" t="n">
        <v>2</v>
      </c>
      <c r="F5" s="8">
        <f>VLOOKUP("Level "&amp;E5,Model!$A$24:$B$32,2,FALSE)</f>
        <v/>
      </c>
      <c r="G5" s="8">
        <f>MAX(Model!$B$20,F5-Model!$B$19)</f>
        <v/>
      </c>
      <c r="H5" s="8">
        <f>F5-G5</f>
        <v/>
      </c>
    </row>
    <row r="6">
      <c r="A6" s="8" t="inlineStr">
        <is>
          <t>Cleric|Life Domain</t>
        </is>
      </c>
      <c r="B6" s="8" t="inlineStr">
        <is>
          <t>Cleric</t>
        </is>
      </c>
      <c r="C6" s="8" t="inlineStr">
        <is>
          <t>Life Domain</t>
        </is>
      </c>
      <c r="D6" s="8" t="inlineStr">
        <is>
          <t>Spell 5</t>
        </is>
      </c>
      <c r="E6" s="9" t="n">
        <v>3</v>
      </c>
      <c r="F6" s="8">
        <f>VLOOKUP("Level "&amp;E6,Model!$A$24:$B$32,2,FALSE)</f>
        <v/>
      </c>
      <c r="G6" s="8">
        <f>MAX(Model!$B$20,F6-Model!$B$19)</f>
        <v/>
      </c>
      <c r="H6" s="8">
        <f>F6-G6</f>
        <v/>
      </c>
    </row>
    <row r="7">
      <c r="A7" s="8" t="inlineStr">
        <is>
          <t>Cleric|Life Domain</t>
        </is>
      </c>
      <c r="B7" s="8" t="inlineStr">
        <is>
          <t>Cleric</t>
        </is>
      </c>
      <c r="C7" s="8" t="inlineStr">
        <is>
          <t>Life Domain</t>
        </is>
      </c>
      <c r="D7" s="8" t="inlineStr">
        <is>
          <t>Spell 6</t>
        </is>
      </c>
      <c r="E7" s="9" t="n">
        <v>3</v>
      </c>
      <c r="F7" s="8">
        <f>VLOOKUP("Level "&amp;E7,Model!$A$24:$B$32,2,FALSE)</f>
        <v/>
      </c>
      <c r="G7" s="8">
        <f>MAX(Model!$B$20,F7-Model!$B$19)</f>
        <v/>
      </c>
      <c r="H7" s="8">
        <f>F7-G7</f>
        <v/>
      </c>
    </row>
    <row r="8">
      <c r="A8" s="8" t="inlineStr">
        <is>
          <t>Cleric|Light Domain</t>
        </is>
      </c>
      <c r="B8" s="8" t="inlineStr">
        <is>
          <t>Cleric</t>
        </is>
      </c>
      <c r="C8" s="8" t="inlineStr">
        <is>
          <t>Light Domain</t>
        </is>
      </c>
      <c r="D8" s="8" t="inlineStr">
        <is>
          <t>Spell 1</t>
        </is>
      </c>
      <c r="E8" s="9" t="n">
        <v>1</v>
      </c>
      <c r="F8" s="8">
        <f>VLOOKUP("Level "&amp;E8,Model!$A$24:$B$32,2,FALSE)</f>
        <v/>
      </c>
      <c r="G8" s="8">
        <f>MAX(Model!$B$20,F8-Model!$B$19)</f>
        <v/>
      </c>
      <c r="H8" s="8">
        <f>F8-G8</f>
        <v/>
      </c>
    </row>
    <row r="9">
      <c r="A9" s="8" t="inlineStr">
        <is>
          <t>Cleric|Light Domain</t>
        </is>
      </c>
      <c r="B9" s="8" t="inlineStr">
        <is>
          <t>Cleric</t>
        </is>
      </c>
      <c r="C9" s="8" t="inlineStr">
        <is>
          <t>Light Domain</t>
        </is>
      </c>
      <c r="D9" s="8" t="inlineStr">
        <is>
          <t>Spell 2</t>
        </is>
      </c>
      <c r="E9" s="9" t="n">
        <v>1</v>
      </c>
      <c r="F9" s="8">
        <f>VLOOKUP("Level "&amp;E9,Model!$A$24:$B$32,2,FALSE)</f>
        <v/>
      </c>
      <c r="G9" s="8">
        <f>MAX(Model!$B$20,F9-Model!$B$19)</f>
        <v/>
      </c>
      <c r="H9" s="8">
        <f>F9-G9</f>
        <v/>
      </c>
    </row>
    <row r="10">
      <c r="A10" s="8" t="inlineStr">
        <is>
          <t>Cleric|Light Domain</t>
        </is>
      </c>
      <c r="B10" s="8" t="inlineStr">
        <is>
          <t>Cleric</t>
        </is>
      </c>
      <c r="C10" s="8" t="inlineStr">
        <is>
          <t>Light Domain</t>
        </is>
      </c>
      <c r="D10" s="8" t="inlineStr">
        <is>
          <t>Spell 3</t>
        </is>
      </c>
      <c r="E10" s="9" t="n">
        <v>2</v>
      </c>
      <c r="F10" s="8">
        <f>VLOOKUP("Level "&amp;E10,Model!$A$24:$B$32,2,FALSE)</f>
        <v/>
      </c>
      <c r="G10" s="8">
        <f>MAX(Model!$B$20,F10-Model!$B$19)</f>
        <v/>
      </c>
      <c r="H10" s="8">
        <f>F10-G10</f>
        <v/>
      </c>
    </row>
    <row r="11">
      <c r="A11" s="8" t="inlineStr">
        <is>
          <t>Cleric|Light Domain</t>
        </is>
      </c>
      <c r="B11" s="8" t="inlineStr">
        <is>
          <t>Cleric</t>
        </is>
      </c>
      <c r="C11" s="8" t="inlineStr">
        <is>
          <t>Light Domain</t>
        </is>
      </c>
      <c r="D11" s="8" t="inlineStr">
        <is>
          <t>Spell 4</t>
        </is>
      </c>
      <c r="E11" s="9" t="n">
        <v>2</v>
      </c>
      <c r="F11" s="8">
        <f>VLOOKUP("Level "&amp;E11,Model!$A$24:$B$32,2,FALSE)</f>
        <v/>
      </c>
      <c r="G11" s="8">
        <f>MAX(Model!$B$20,F11-Model!$B$19)</f>
        <v/>
      </c>
      <c r="H11" s="8">
        <f>F11-G11</f>
        <v/>
      </c>
    </row>
    <row r="12">
      <c r="A12" s="8" t="inlineStr">
        <is>
          <t>Cleric|Light Domain</t>
        </is>
      </c>
      <c r="B12" s="8" t="inlineStr">
        <is>
          <t>Cleric</t>
        </is>
      </c>
      <c r="C12" s="8" t="inlineStr">
        <is>
          <t>Light Domain</t>
        </is>
      </c>
      <c r="D12" s="8" t="inlineStr">
        <is>
          <t>Spell 5</t>
        </is>
      </c>
      <c r="E12" s="9" t="n">
        <v>3</v>
      </c>
      <c r="F12" s="8">
        <f>VLOOKUP("Level "&amp;E12,Model!$A$24:$B$32,2,FALSE)</f>
        <v/>
      </c>
      <c r="G12" s="8">
        <f>MAX(Model!$B$20,F12-Model!$B$19)</f>
        <v/>
      </c>
      <c r="H12" s="8">
        <f>F12-G12</f>
        <v/>
      </c>
    </row>
    <row r="13">
      <c r="A13" s="8" t="inlineStr">
        <is>
          <t>Cleric|Light Domain</t>
        </is>
      </c>
      <c r="B13" s="8" t="inlineStr">
        <is>
          <t>Cleric</t>
        </is>
      </c>
      <c r="C13" s="8" t="inlineStr">
        <is>
          <t>Light Domain</t>
        </is>
      </c>
      <c r="D13" s="8" t="inlineStr">
        <is>
          <t>Spell 6</t>
        </is>
      </c>
      <c r="E13" s="9" t="n">
        <v>3</v>
      </c>
      <c r="F13" s="8">
        <f>VLOOKUP("Level "&amp;E13,Model!$A$24:$B$32,2,FALSE)</f>
        <v/>
      </c>
      <c r="G13" s="8">
        <f>MAX(Model!$B$20,F13-Model!$B$19)</f>
        <v/>
      </c>
      <c r="H13" s="8">
        <f>F13-G13</f>
        <v/>
      </c>
    </row>
    <row r="14">
      <c r="A14" s="8" t="inlineStr">
        <is>
          <t>Cleric|Trickery Domain</t>
        </is>
      </c>
      <c r="B14" s="8" t="inlineStr">
        <is>
          <t>Cleric</t>
        </is>
      </c>
      <c r="C14" s="8" t="inlineStr">
        <is>
          <t>Trickery Domain</t>
        </is>
      </c>
      <c r="D14" s="8" t="inlineStr">
        <is>
          <t>Spell 1</t>
        </is>
      </c>
      <c r="E14" s="9" t="n">
        <v>1</v>
      </c>
      <c r="F14" s="8">
        <f>VLOOKUP("Level "&amp;E14,Model!$A$24:$B$32,2,FALSE)</f>
        <v/>
      </c>
      <c r="G14" s="8">
        <f>MAX(Model!$B$20,F14-Model!$B$19)</f>
        <v/>
      </c>
      <c r="H14" s="8">
        <f>F14-G14</f>
        <v/>
      </c>
    </row>
    <row r="15">
      <c r="A15" s="8" t="inlineStr">
        <is>
          <t>Cleric|Trickery Domain</t>
        </is>
      </c>
      <c r="B15" s="8" t="inlineStr">
        <is>
          <t>Cleric</t>
        </is>
      </c>
      <c r="C15" s="8" t="inlineStr">
        <is>
          <t>Trickery Domain</t>
        </is>
      </c>
      <c r="D15" s="8" t="inlineStr">
        <is>
          <t>Spell 2</t>
        </is>
      </c>
      <c r="E15" s="9" t="n">
        <v>1</v>
      </c>
      <c r="F15" s="8">
        <f>VLOOKUP("Level "&amp;E15,Model!$A$24:$B$32,2,FALSE)</f>
        <v/>
      </c>
      <c r="G15" s="8">
        <f>MAX(Model!$B$20,F15-Model!$B$19)</f>
        <v/>
      </c>
      <c r="H15" s="8">
        <f>F15-G15</f>
        <v/>
      </c>
    </row>
    <row r="16">
      <c r="A16" s="8" t="inlineStr">
        <is>
          <t>Cleric|Trickery Domain</t>
        </is>
      </c>
      <c r="B16" s="8" t="inlineStr">
        <is>
          <t>Cleric</t>
        </is>
      </c>
      <c r="C16" s="8" t="inlineStr">
        <is>
          <t>Trickery Domain</t>
        </is>
      </c>
      <c r="D16" s="8" t="inlineStr">
        <is>
          <t>Spell 3</t>
        </is>
      </c>
      <c r="E16" s="9" t="n">
        <v>2</v>
      </c>
      <c r="F16" s="8">
        <f>VLOOKUP("Level "&amp;E16,Model!$A$24:$B$32,2,FALSE)</f>
        <v/>
      </c>
      <c r="G16" s="8">
        <f>MAX(Model!$B$20,F16-Model!$B$19)</f>
        <v/>
      </c>
      <c r="H16" s="8">
        <f>F16-G16</f>
        <v/>
      </c>
    </row>
    <row r="17">
      <c r="A17" s="8" t="inlineStr">
        <is>
          <t>Cleric|Trickery Domain</t>
        </is>
      </c>
      <c r="B17" s="8" t="inlineStr">
        <is>
          <t>Cleric</t>
        </is>
      </c>
      <c r="C17" s="8" t="inlineStr">
        <is>
          <t>Trickery Domain</t>
        </is>
      </c>
      <c r="D17" s="8" t="inlineStr">
        <is>
          <t>Spell 4</t>
        </is>
      </c>
      <c r="E17" s="9" t="n">
        <v>2</v>
      </c>
      <c r="F17" s="8">
        <f>VLOOKUP("Level "&amp;E17,Model!$A$24:$B$32,2,FALSE)</f>
        <v/>
      </c>
      <c r="G17" s="8">
        <f>MAX(Model!$B$20,F17-Model!$B$19)</f>
        <v/>
      </c>
      <c r="H17" s="8">
        <f>F17-G17</f>
        <v/>
      </c>
    </row>
    <row r="18">
      <c r="A18" s="8" t="inlineStr">
        <is>
          <t>Cleric|Trickery Domain</t>
        </is>
      </c>
      <c r="B18" s="8" t="inlineStr">
        <is>
          <t>Cleric</t>
        </is>
      </c>
      <c r="C18" s="8" t="inlineStr">
        <is>
          <t>Trickery Domain</t>
        </is>
      </c>
      <c r="D18" s="8" t="inlineStr">
        <is>
          <t>Spell 5</t>
        </is>
      </c>
      <c r="E18" s="9" t="n">
        <v>3</v>
      </c>
      <c r="F18" s="8">
        <f>VLOOKUP("Level "&amp;E18,Model!$A$24:$B$32,2,FALSE)</f>
        <v/>
      </c>
      <c r="G18" s="8">
        <f>MAX(Model!$B$20,F18-Model!$B$19)</f>
        <v/>
      </c>
      <c r="H18" s="8">
        <f>F18-G18</f>
        <v/>
      </c>
    </row>
    <row r="19">
      <c r="A19" s="8" t="inlineStr">
        <is>
          <t>Cleric|Trickery Domain</t>
        </is>
      </c>
      <c r="B19" s="8" t="inlineStr">
        <is>
          <t>Cleric</t>
        </is>
      </c>
      <c r="C19" s="8" t="inlineStr">
        <is>
          <t>Trickery Domain</t>
        </is>
      </c>
      <c r="D19" s="8" t="inlineStr">
        <is>
          <t>Spell 6</t>
        </is>
      </c>
      <c r="E19" s="9" t="n">
        <v>3</v>
      </c>
      <c r="F19" s="8">
        <f>VLOOKUP("Level "&amp;E19,Model!$A$24:$B$32,2,FALSE)</f>
        <v/>
      </c>
      <c r="G19" s="8">
        <f>MAX(Model!$B$20,F19-Model!$B$19)</f>
        <v/>
      </c>
      <c r="H19" s="8">
        <f>F19-G19</f>
        <v/>
      </c>
    </row>
    <row r="20">
      <c r="A20" s="8" t="inlineStr">
        <is>
          <t>Cleric|War Domain</t>
        </is>
      </c>
      <c r="B20" s="8" t="inlineStr">
        <is>
          <t>Cleric</t>
        </is>
      </c>
      <c r="C20" s="8" t="inlineStr">
        <is>
          <t>War Domain</t>
        </is>
      </c>
      <c r="D20" s="8" t="inlineStr">
        <is>
          <t>Spell 1</t>
        </is>
      </c>
      <c r="E20" s="9" t="n">
        <v>1</v>
      </c>
      <c r="F20" s="8">
        <f>VLOOKUP("Level "&amp;E20,Model!$A$24:$B$32,2,FALSE)</f>
        <v/>
      </c>
      <c r="G20" s="8">
        <f>MAX(Model!$B$20,F20-Model!$B$19)</f>
        <v/>
      </c>
      <c r="H20" s="8">
        <f>F20-G20</f>
        <v/>
      </c>
    </row>
    <row r="21">
      <c r="A21" s="8" t="inlineStr">
        <is>
          <t>Cleric|War Domain</t>
        </is>
      </c>
      <c r="B21" s="8" t="inlineStr">
        <is>
          <t>Cleric</t>
        </is>
      </c>
      <c r="C21" s="8" t="inlineStr">
        <is>
          <t>War Domain</t>
        </is>
      </c>
      <c r="D21" s="8" t="inlineStr">
        <is>
          <t>Spell 2</t>
        </is>
      </c>
      <c r="E21" s="9" t="n">
        <v>1</v>
      </c>
      <c r="F21" s="8">
        <f>VLOOKUP("Level "&amp;E21,Model!$A$24:$B$32,2,FALSE)</f>
        <v/>
      </c>
      <c r="G21" s="8">
        <f>MAX(Model!$B$20,F21-Model!$B$19)</f>
        <v/>
      </c>
      <c r="H21" s="8">
        <f>F21-G21</f>
        <v/>
      </c>
    </row>
    <row r="22">
      <c r="A22" s="8" t="inlineStr">
        <is>
          <t>Cleric|War Domain</t>
        </is>
      </c>
      <c r="B22" s="8" t="inlineStr">
        <is>
          <t>Cleric</t>
        </is>
      </c>
      <c r="C22" s="8" t="inlineStr">
        <is>
          <t>War Domain</t>
        </is>
      </c>
      <c r="D22" s="8" t="inlineStr">
        <is>
          <t>Spell 3</t>
        </is>
      </c>
      <c r="E22" s="9" t="n">
        <v>2</v>
      </c>
      <c r="F22" s="8">
        <f>VLOOKUP("Level "&amp;E22,Model!$A$24:$B$32,2,FALSE)</f>
        <v/>
      </c>
      <c r="G22" s="8">
        <f>MAX(Model!$B$20,F22-Model!$B$19)</f>
        <v/>
      </c>
      <c r="H22" s="8">
        <f>F22-G22</f>
        <v/>
      </c>
    </row>
    <row r="23">
      <c r="A23" s="8" t="inlineStr">
        <is>
          <t>Cleric|War Domain</t>
        </is>
      </c>
      <c r="B23" s="8" t="inlineStr">
        <is>
          <t>Cleric</t>
        </is>
      </c>
      <c r="C23" s="8" t="inlineStr">
        <is>
          <t>War Domain</t>
        </is>
      </c>
      <c r="D23" s="8" t="inlineStr">
        <is>
          <t>Spell 4</t>
        </is>
      </c>
      <c r="E23" s="9" t="n">
        <v>2</v>
      </c>
      <c r="F23" s="8">
        <f>VLOOKUP("Level "&amp;E23,Model!$A$24:$B$32,2,FALSE)</f>
        <v/>
      </c>
      <c r="G23" s="8">
        <f>MAX(Model!$B$20,F23-Model!$B$19)</f>
        <v/>
      </c>
      <c r="H23" s="8">
        <f>F23-G23</f>
        <v/>
      </c>
    </row>
    <row r="24">
      <c r="A24" s="8" t="inlineStr">
        <is>
          <t>Cleric|War Domain</t>
        </is>
      </c>
      <c r="B24" s="8" t="inlineStr">
        <is>
          <t>Cleric</t>
        </is>
      </c>
      <c r="C24" s="8" t="inlineStr">
        <is>
          <t>War Domain</t>
        </is>
      </c>
      <c r="D24" s="8" t="inlineStr">
        <is>
          <t>Spell 5</t>
        </is>
      </c>
      <c r="E24" s="9" t="n">
        <v>3</v>
      </c>
      <c r="F24" s="8">
        <f>VLOOKUP("Level "&amp;E24,Model!$A$24:$B$32,2,FALSE)</f>
        <v/>
      </c>
      <c r="G24" s="8">
        <f>MAX(Model!$B$20,F24-Model!$B$19)</f>
        <v/>
      </c>
      <c r="H24" s="8">
        <f>F24-G24</f>
        <v/>
      </c>
    </row>
    <row r="25">
      <c r="A25" s="8" t="inlineStr">
        <is>
          <t>Cleric|War Domain</t>
        </is>
      </c>
      <c r="B25" s="8" t="inlineStr">
        <is>
          <t>Cleric</t>
        </is>
      </c>
      <c r="C25" s="8" t="inlineStr">
        <is>
          <t>War Domain</t>
        </is>
      </c>
      <c r="D25" s="8" t="inlineStr">
        <is>
          <t>Spell 6</t>
        </is>
      </c>
      <c r="E25" s="9" t="n">
        <v>3</v>
      </c>
      <c r="F25" s="8">
        <f>VLOOKUP("Level "&amp;E25,Model!$A$24:$B$32,2,FALSE)</f>
        <v/>
      </c>
      <c r="G25" s="8">
        <f>MAX(Model!$B$20,F25-Model!$B$19)</f>
        <v/>
      </c>
      <c r="H25" s="8">
        <f>F25-G25</f>
        <v/>
      </c>
    </row>
    <row r="26">
      <c r="A26" s="8" t="inlineStr">
        <is>
          <t>Druid|Circle of the Land</t>
        </is>
      </c>
      <c r="B26" s="8" t="inlineStr">
        <is>
          <t>Druid</t>
        </is>
      </c>
      <c r="C26" s="8" t="inlineStr">
        <is>
          <t>Circle of the Land</t>
        </is>
      </c>
      <c r="D26" s="8" t="inlineStr">
        <is>
          <t>Spell 1</t>
        </is>
      </c>
      <c r="E26" s="9" t="n">
        <v>1</v>
      </c>
      <c r="F26" s="8">
        <f>VLOOKUP("Level "&amp;E26,Model!$A$24:$B$32,2,FALSE)</f>
        <v/>
      </c>
      <c r="G26" s="8">
        <f>MAX(Model!$B$20,F26-Model!$B$19)</f>
        <v/>
      </c>
      <c r="H26" s="8">
        <f>F26-G26</f>
        <v/>
      </c>
    </row>
    <row r="27">
      <c r="A27" s="8" t="inlineStr">
        <is>
          <t>Druid|Circle of the Land</t>
        </is>
      </c>
      <c r="B27" s="8" t="inlineStr">
        <is>
          <t>Druid</t>
        </is>
      </c>
      <c r="C27" s="8" t="inlineStr">
        <is>
          <t>Circle of the Land</t>
        </is>
      </c>
      <c r="D27" s="8" t="inlineStr">
        <is>
          <t>Spell 2</t>
        </is>
      </c>
      <c r="E27" s="9" t="n">
        <v>1</v>
      </c>
      <c r="F27" s="8">
        <f>VLOOKUP("Level "&amp;E27,Model!$A$24:$B$32,2,FALSE)</f>
        <v/>
      </c>
      <c r="G27" s="8">
        <f>MAX(Model!$B$20,F27-Model!$B$19)</f>
        <v/>
      </c>
      <c r="H27" s="8">
        <f>F27-G27</f>
        <v/>
      </c>
    </row>
    <row r="28">
      <c r="A28" s="8" t="inlineStr">
        <is>
          <t>Druid|Circle of the Land</t>
        </is>
      </c>
      <c r="B28" s="8" t="inlineStr">
        <is>
          <t>Druid</t>
        </is>
      </c>
      <c r="C28" s="8" t="inlineStr">
        <is>
          <t>Circle of the Land</t>
        </is>
      </c>
      <c r="D28" s="8" t="inlineStr">
        <is>
          <t>Spell 3</t>
        </is>
      </c>
      <c r="E28" s="9" t="n">
        <v>2</v>
      </c>
      <c r="F28" s="8">
        <f>VLOOKUP("Level "&amp;E28,Model!$A$24:$B$32,2,FALSE)</f>
        <v/>
      </c>
      <c r="G28" s="8">
        <f>MAX(Model!$B$20,F28-Model!$B$19)</f>
        <v/>
      </c>
      <c r="H28" s="8">
        <f>F28-G28</f>
        <v/>
      </c>
    </row>
    <row r="29">
      <c r="A29" s="8" t="inlineStr">
        <is>
          <t>Druid|Circle of the Land</t>
        </is>
      </c>
      <c r="B29" s="8" t="inlineStr">
        <is>
          <t>Druid</t>
        </is>
      </c>
      <c r="C29" s="8" t="inlineStr">
        <is>
          <t>Circle of the Land</t>
        </is>
      </c>
      <c r="D29" s="8" t="inlineStr">
        <is>
          <t>Spell 4</t>
        </is>
      </c>
      <c r="E29" s="9" t="n">
        <v>2</v>
      </c>
      <c r="F29" s="8">
        <f>VLOOKUP("Level "&amp;E29,Model!$A$24:$B$32,2,FALSE)</f>
        <v/>
      </c>
      <c r="G29" s="8">
        <f>MAX(Model!$B$20,F29-Model!$B$19)</f>
        <v/>
      </c>
      <c r="H29" s="8">
        <f>F29-G29</f>
        <v/>
      </c>
    </row>
    <row r="30">
      <c r="A30" s="8" t="inlineStr">
        <is>
          <t>Druid|Circle of the Land</t>
        </is>
      </c>
      <c r="B30" s="8" t="inlineStr">
        <is>
          <t>Druid</t>
        </is>
      </c>
      <c r="C30" s="8" t="inlineStr">
        <is>
          <t>Circle of the Land</t>
        </is>
      </c>
      <c r="D30" s="8" t="inlineStr">
        <is>
          <t>Spell 5</t>
        </is>
      </c>
      <c r="E30" s="9" t="n">
        <v>3</v>
      </c>
      <c r="F30" s="8">
        <f>VLOOKUP("Level "&amp;E30,Model!$A$24:$B$32,2,FALSE)</f>
        <v/>
      </c>
      <c r="G30" s="8">
        <f>MAX(Model!$B$20,F30-Model!$B$19)</f>
        <v/>
      </c>
      <c r="H30" s="8">
        <f>F30-G30</f>
        <v/>
      </c>
    </row>
    <row r="31">
      <c r="A31" s="8" t="inlineStr">
        <is>
          <t>Druid|Circle of the Land</t>
        </is>
      </c>
      <c r="B31" s="8" t="inlineStr">
        <is>
          <t>Druid</t>
        </is>
      </c>
      <c r="C31" s="8" t="inlineStr">
        <is>
          <t>Circle of the Land</t>
        </is>
      </c>
      <c r="D31" s="8" t="inlineStr">
        <is>
          <t>Spell 6</t>
        </is>
      </c>
      <c r="E31" s="9" t="n">
        <v>3</v>
      </c>
      <c r="F31" s="8">
        <f>VLOOKUP("Level "&amp;E31,Model!$A$24:$B$32,2,FALSE)</f>
        <v/>
      </c>
      <c r="G31" s="8">
        <f>MAX(Model!$B$20,F31-Model!$B$19)</f>
        <v/>
      </c>
      <c r="H31" s="8">
        <f>F31-G31</f>
        <v/>
      </c>
    </row>
    <row r="32">
      <c r="A32" s="8" t="inlineStr">
        <is>
          <t>Druid|Circle of the Land</t>
        </is>
      </c>
      <c r="B32" s="8" t="inlineStr">
        <is>
          <t>Druid</t>
        </is>
      </c>
      <c r="C32" s="8" t="inlineStr">
        <is>
          <t>Circle of the Land</t>
        </is>
      </c>
      <c r="D32" s="8" t="inlineStr">
        <is>
          <t>Cantrip 1</t>
        </is>
      </c>
      <c r="E32" s="9" t="n">
        <v>0</v>
      </c>
      <c r="F32" s="8">
        <f>Model!$B$21</f>
        <v/>
      </c>
      <c r="G32" s="8">
        <f>Model!$B$21</f>
        <v/>
      </c>
      <c r="H32" s="8">
        <f>F32-G32</f>
        <v/>
      </c>
    </row>
    <row r="33">
      <c r="A33" s="8" t="inlineStr">
        <is>
          <t>Druid|Circle of the Moon</t>
        </is>
      </c>
      <c r="B33" s="8" t="inlineStr">
        <is>
          <t>Druid</t>
        </is>
      </c>
      <c r="C33" s="8" t="inlineStr">
        <is>
          <t>Circle of the Moon</t>
        </is>
      </c>
      <c r="D33" s="8" t="inlineStr">
        <is>
          <t>Spell 1</t>
        </is>
      </c>
      <c r="E33" s="9" t="n">
        <v>1</v>
      </c>
      <c r="F33" s="8">
        <f>VLOOKUP("Level "&amp;E33,Model!$A$24:$B$32,2,FALSE)</f>
        <v/>
      </c>
      <c r="G33" s="8">
        <f>MAX(Model!$B$20,F33-Model!$B$19)</f>
        <v/>
      </c>
      <c r="H33" s="8">
        <f>F33-G33</f>
        <v/>
      </c>
    </row>
    <row r="34">
      <c r="A34" s="8" t="inlineStr">
        <is>
          <t>Druid|Circle of the Moon</t>
        </is>
      </c>
      <c r="B34" s="8" t="inlineStr">
        <is>
          <t>Druid</t>
        </is>
      </c>
      <c r="C34" s="8" t="inlineStr">
        <is>
          <t>Circle of the Moon</t>
        </is>
      </c>
      <c r="D34" s="8" t="inlineStr">
        <is>
          <t>Spell 2</t>
        </is>
      </c>
      <c r="E34" s="9" t="n">
        <v>1</v>
      </c>
      <c r="F34" s="8">
        <f>VLOOKUP("Level "&amp;E34,Model!$A$24:$B$32,2,FALSE)</f>
        <v/>
      </c>
      <c r="G34" s="8">
        <f>MAX(Model!$B$20,F34-Model!$B$19)</f>
        <v/>
      </c>
      <c r="H34" s="8">
        <f>F34-G34</f>
        <v/>
      </c>
    </row>
    <row r="35">
      <c r="A35" s="8" t="inlineStr">
        <is>
          <t>Druid|Circle of the Moon</t>
        </is>
      </c>
      <c r="B35" s="8" t="inlineStr">
        <is>
          <t>Druid</t>
        </is>
      </c>
      <c r="C35" s="8" t="inlineStr">
        <is>
          <t>Circle of the Moon</t>
        </is>
      </c>
      <c r="D35" s="8" t="inlineStr">
        <is>
          <t>Spell 3</t>
        </is>
      </c>
      <c r="E35" s="9" t="n">
        <v>2</v>
      </c>
      <c r="F35" s="8">
        <f>VLOOKUP("Level "&amp;E35,Model!$A$24:$B$32,2,FALSE)</f>
        <v/>
      </c>
      <c r="G35" s="8">
        <f>MAX(Model!$B$20,F35-Model!$B$19)</f>
        <v/>
      </c>
      <c r="H35" s="8">
        <f>F35-G35</f>
        <v/>
      </c>
    </row>
    <row r="36">
      <c r="A36" s="8" t="inlineStr">
        <is>
          <t>Druid|Circle of the Moon</t>
        </is>
      </c>
      <c r="B36" s="8" t="inlineStr">
        <is>
          <t>Druid</t>
        </is>
      </c>
      <c r="C36" s="8" t="inlineStr">
        <is>
          <t>Circle of the Moon</t>
        </is>
      </c>
      <c r="D36" s="8" t="inlineStr">
        <is>
          <t>Spell 4</t>
        </is>
      </c>
      <c r="E36" s="9" t="n">
        <v>2</v>
      </c>
      <c r="F36" s="8">
        <f>VLOOKUP("Level "&amp;E36,Model!$A$24:$B$32,2,FALSE)</f>
        <v/>
      </c>
      <c r="G36" s="8">
        <f>MAX(Model!$B$20,F36-Model!$B$19)</f>
        <v/>
      </c>
      <c r="H36" s="8">
        <f>F36-G36</f>
        <v/>
      </c>
    </row>
    <row r="37">
      <c r="A37" s="8" t="inlineStr">
        <is>
          <t>Druid|Circle of the Moon</t>
        </is>
      </c>
      <c r="B37" s="8" t="inlineStr">
        <is>
          <t>Druid</t>
        </is>
      </c>
      <c r="C37" s="8" t="inlineStr">
        <is>
          <t>Circle of the Moon</t>
        </is>
      </c>
      <c r="D37" s="8" t="inlineStr">
        <is>
          <t>Spell 5</t>
        </is>
      </c>
      <c r="E37" s="9" t="n">
        <v>3</v>
      </c>
      <c r="F37" s="8">
        <f>VLOOKUP("Level "&amp;E37,Model!$A$24:$B$32,2,FALSE)</f>
        <v/>
      </c>
      <c r="G37" s="8">
        <f>MAX(Model!$B$20,F37-Model!$B$19)</f>
        <v/>
      </c>
      <c r="H37" s="8">
        <f>F37-G37</f>
        <v/>
      </c>
    </row>
    <row r="38">
      <c r="A38" s="8" t="inlineStr">
        <is>
          <t>Druid|Circle of the Moon</t>
        </is>
      </c>
      <c r="B38" s="8" t="inlineStr">
        <is>
          <t>Druid</t>
        </is>
      </c>
      <c r="C38" s="8" t="inlineStr">
        <is>
          <t>Circle of the Moon</t>
        </is>
      </c>
      <c r="D38" s="8" t="inlineStr">
        <is>
          <t>Spell 6</t>
        </is>
      </c>
      <c r="E38" s="9" t="n">
        <v>3</v>
      </c>
      <c r="F38" s="8">
        <f>VLOOKUP("Level "&amp;E38,Model!$A$24:$B$32,2,FALSE)</f>
        <v/>
      </c>
      <c r="G38" s="8">
        <f>MAX(Model!$B$20,F38-Model!$B$19)</f>
        <v/>
      </c>
      <c r="H38" s="8">
        <f>F38-G38</f>
        <v/>
      </c>
    </row>
    <row r="39">
      <c r="A39" s="8" t="inlineStr">
        <is>
          <t>Druid|Circle of the Moon</t>
        </is>
      </c>
      <c r="B39" s="8" t="inlineStr">
        <is>
          <t>Druid</t>
        </is>
      </c>
      <c r="C39" s="8" t="inlineStr">
        <is>
          <t>Circle of the Moon</t>
        </is>
      </c>
      <c r="D39" s="8" t="inlineStr">
        <is>
          <t>Cantrip 1</t>
        </is>
      </c>
      <c r="E39" s="9" t="n">
        <v>0</v>
      </c>
      <c r="F39" s="8">
        <f>Model!$B$21</f>
        <v/>
      </c>
      <c r="G39" s="8">
        <f>Model!$B$21</f>
        <v/>
      </c>
      <c r="H39" s="8">
        <f>F39-G39</f>
        <v/>
      </c>
    </row>
    <row r="40">
      <c r="A40" s="8" t="inlineStr">
        <is>
          <t>Druid|Circle of the Sea</t>
        </is>
      </c>
      <c r="B40" s="8" t="inlineStr">
        <is>
          <t>Druid</t>
        </is>
      </c>
      <c r="C40" s="8" t="inlineStr">
        <is>
          <t>Circle of the Sea</t>
        </is>
      </c>
      <c r="D40" s="8" t="inlineStr">
        <is>
          <t>Spell 1</t>
        </is>
      </c>
      <c r="E40" s="9" t="n">
        <v>1</v>
      </c>
      <c r="F40" s="8">
        <f>VLOOKUP("Level "&amp;E40,Model!$A$24:$B$32,2,FALSE)</f>
        <v/>
      </c>
      <c r="G40" s="8">
        <f>MAX(Model!$B$20,F40-Model!$B$19)</f>
        <v/>
      </c>
      <c r="H40" s="8">
        <f>F40-G40</f>
        <v/>
      </c>
    </row>
    <row r="41">
      <c r="A41" s="8" t="inlineStr">
        <is>
          <t>Druid|Circle of the Sea</t>
        </is>
      </c>
      <c r="B41" s="8" t="inlineStr">
        <is>
          <t>Druid</t>
        </is>
      </c>
      <c r="C41" s="8" t="inlineStr">
        <is>
          <t>Circle of the Sea</t>
        </is>
      </c>
      <c r="D41" s="8" t="inlineStr">
        <is>
          <t>Spell 2</t>
        </is>
      </c>
      <c r="E41" s="9" t="n">
        <v>1</v>
      </c>
      <c r="F41" s="8">
        <f>VLOOKUP("Level "&amp;E41,Model!$A$24:$B$32,2,FALSE)</f>
        <v/>
      </c>
      <c r="G41" s="8">
        <f>MAX(Model!$B$20,F41-Model!$B$19)</f>
        <v/>
      </c>
      <c r="H41" s="8">
        <f>F41-G41</f>
        <v/>
      </c>
    </row>
    <row r="42">
      <c r="A42" s="8" t="inlineStr">
        <is>
          <t>Druid|Circle of the Sea</t>
        </is>
      </c>
      <c r="B42" s="8" t="inlineStr">
        <is>
          <t>Druid</t>
        </is>
      </c>
      <c r="C42" s="8" t="inlineStr">
        <is>
          <t>Circle of the Sea</t>
        </is>
      </c>
      <c r="D42" s="8" t="inlineStr">
        <is>
          <t>Spell 3</t>
        </is>
      </c>
      <c r="E42" s="9" t="n">
        <v>2</v>
      </c>
      <c r="F42" s="8">
        <f>VLOOKUP("Level "&amp;E42,Model!$A$24:$B$32,2,FALSE)</f>
        <v/>
      </c>
      <c r="G42" s="8">
        <f>MAX(Model!$B$20,F42-Model!$B$19)</f>
        <v/>
      </c>
      <c r="H42" s="8">
        <f>F42-G42</f>
        <v/>
      </c>
    </row>
    <row r="43">
      <c r="A43" s="8" t="inlineStr">
        <is>
          <t>Druid|Circle of the Sea</t>
        </is>
      </c>
      <c r="B43" s="8" t="inlineStr">
        <is>
          <t>Druid</t>
        </is>
      </c>
      <c r="C43" s="8" t="inlineStr">
        <is>
          <t>Circle of the Sea</t>
        </is>
      </c>
      <c r="D43" s="8" t="inlineStr">
        <is>
          <t>Spell 4</t>
        </is>
      </c>
      <c r="E43" s="9" t="n">
        <v>2</v>
      </c>
      <c r="F43" s="8">
        <f>VLOOKUP("Level "&amp;E43,Model!$A$24:$B$32,2,FALSE)</f>
        <v/>
      </c>
      <c r="G43" s="8">
        <f>MAX(Model!$B$20,F43-Model!$B$19)</f>
        <v/>
      </c>
      <c r="H43" s="8">
        <f>F43-G43</f>
        <v/>
      </c>
    </row>
    <row r="44">
      <c r="A44" s="8" t="inlineStr">
        <is>
          <t>Druid|Circle of the Sea</t>
        </is>
      </c>
      <c r="B44" s="8" t="inlineStr">
        <is>
          <t>Druid</t>
        </is>
      </c>
      <c r="C44" s="8" t="inlineStr">
        <is>
          <t>Circle of the Sea</t>
        </is>
      </c>
      <c r="D44" s="8" t="inlineStr">
        <is>
          <t>Spell 5</t>
        </is>
      </c>
      <c r="E44" s="9" t="n">
        <v>3</v>
      </c>
      <c r="F44" s="8">
        <f>VLOOKUP("Level "&amp;E44,Model!$A$24:$B$32,2,FALSE)</f>
        <v/>
      </c>
      <c r="G44" s="8">
        <f>MAX(Model!$B$20,F44-Model!$B$19)</f>
        <v/>
      </c>
      <c r="H44" s="8">
        <f>F44-G44</f>
        <v/>
      </c>
    </row>
    <row r="45">
      <c r="A45" s="8" t="inlineStr">
        <is>
          <t>Druid|Circle of the Sea</t>
        </is>
      </c>
      <c r="B45" s="8" t="inlineStr">
        <is>
          <t>Druid</t>
        </is>
      </c>
      <c r="C45" s="8" t="inlineStr">
        <is>
          <t>Circle of the Sea</t>
        </is>
      </c>
      <c r="D45" s="8" t="inlineStr">
        <is>
          <t>Spell 6</t>
        </is>
      </c>
      <c r="E45" s="9" t="n">
        <v>3</v>
      </c>
      <c r="F45" s="8">
        <f>VLOOKUP("Level "&amp;E45,Model!$A$24:$B$32,2,FALSE)</f>
        <v/>
      </c>
      <c r="G45" s="8">
        <f>MAX(Model!$B$20,F45-Model!$B$19)</f>
        <v/>
      </c>
      <c r="H45" s="8">
        <f>F45-G45</f>
        <v/>
      </c>
    </row>
    <row r="46">
      <c r="A46" s="8" t="inlineStr">
        <is>
          <t>Druid|Circle of the Sea</t>
        </is>
      </c>
      <c r="B46" s="8" t="inlineStr">
        <is>
          <t>Druid</t>
        </is>
      </c>
      <c r="C46" s="8" t="inlineStr">
        <is>
          <t>Circle of the Sea</t>
        </is>
      </c>
      <c r="D46" s="8" t="inlineStr">
        <is>
          <t>Cantrip 1</t>
        </is>
      </c>
      <c r="E46" s="9" t="n">
        <v>0</v>
      </c>
      <c r="F46" s="8">
        <f>Model!$B$21</f>
        <v/>
      </c>
      <c r="G46" s="8">
        <f>Model!$B$21</f>
        <v/>
      </c>
      <c r="H46" s="8">
        <f>F46-G46</f>
        <v/>
      </c>
    </row>
    <row r="47">
      <c r="A47" s="8" t="inlineStr">
        <is>
          <t>Druid|Circle of the Stars</t>
        </is>
      </c>
      <c r="B47" s="8" t="inlineStr">
        <is>
          <t>Druid</t>
        </is>
      </c>
      <c r="C47" s="8" t="inlineStr">
        <is>
          <t>Circle of the Stars</t>
        </is>
      </c>
      <c r="D47" s="8" t="inlineStr">
        <is>
          <t>Spell 1</t>
        </is>
      </c>
      <c r="E47" s="9" t="n">
        <v>1</v>
      </c>
      <c r="F47" s="8">
        <f>VLOOKUP("Level "&amp;E47,Model!$A$24:$B$32,2,FALSE)</f>
        <v/>
      </c>
      <c r="G47" s="8">
        <f>MAX(Model!$B$20,F47-Model!$B$19)</f>
        <v/>
      </c>
      <c r="H47" s="8">
        <f>F47-G47</f>
        <v/>
      </c>
    </row>
    <row r="48">
      <c r="A48" s="8" t="inlineStr">
        <is>
          <t>Druid|Circle of the Stars</t>
        </is>
      </c>
      <c r="B48" s="8" t="inlineStr">
        <is>
          <t>Druid</t>
        </is>
      </c>
      <c r="C48" s="8" t="inlineStr">
        <is>
          <t>Circle of the Stars</t>
        </is>
      </c>
      <c r="D48" s="8" t="inlineStr">
        <is>
          <t>Spell 2</t>
        </is>
      </c>
      <c r="E48" s="9" t="n">
        <v>1</v>
      </c>
      <c r="F48" s="8">
        <f>VLOOKUP("Level "&amp;E48,Model!$A$24:$B$32,2,FALSE)</f>
        <v/>
      </c>
      <c r="G48" s="8">
        <f>MAX(Model!$B$20,F48-Model!$B$19)</f>
        <v/>
      </c>
      <c r="H48" s="8">
        <f>F48-G48</f>
        <v/>
      </c>
    </row>
    <row r="49">
      <c r="A49" s="8" t="inlineStr">
        <is>
          <t>Druid|Circle of the Stars</t>
        </is>
      </c>
      <c r="B49" s="8" t="inlineStr">
        <is>
          <t>Druid</t>
        </is>
      </c>
      <c r="C49" s="8" t="inlineStr">
        <is>
          <t>Circle of the Stars</t>
        </is>
      </c>
      <c r="D49" s="8" t="inlineStr">
        <is>
          <t>Spell 3</t>
        </is>
      </c>
      <c r="E49" s="9" t="n">
        <v>2</v>
      </c>
      <c r="F49" s="8">
        <f>VLOOKUP("Level "&amp;E49,Model!$A$24:$B$32,2,FALSE)</f>
        <v/>
      </c>
      <c r="G49" s="8">
        <f>MAX(Model!$B$20,F49-Model!$B$19)</f>
        <v/>
      </c>
      <c r="H49" s="8">
        <f>F49-G49</f>
        <v/>
      </c>
    </row>
    <row r="50">
      <c r="A50" s="8" t="inlineStr">
        <is>
          <t>Druid|Circle of the Stars</t>
        </is>
      </c>
      <c r="B50" s="8" t="inlineStr">
        <is>
          <t>Druid</t>
        </is>
      </c>
      <c r="C50" s="8" t="inlineStr">
        <is>
          <t>Circle of the Stars</t>
        </is>
      </c>
      <c r="D50" s="8" t="inlineStr">
        <is>
          <t>Spell 4</t>
        </is>
      </c>
      <c r="E50" s="9" t="n">
        <v>2</v>
      </c>
      <c r="F50" s="8">
        <f>VLOOKUP("Level "&amp;E50,Model!$A$24:$B$32,2,FALSE)</f>
        <v/>
      </c>
      <c r="G50" s="8">
        <f>MAX(Model!$B$20,F50-Model!$B$19)</f>
        <v/>
      </c>
      <c r="H50" s="8">
        <f>F50-G50</f>
        <v/>
      </c>
    </row>
    <row r="51">
      <c r="A51" s="8" t="inlineStr">
        <is>
          <t>Druid|Circle of the Stars</t>
        </is>
      </c>
      <c r="B51" s="8" t="inlineStr">
        <is>
          <t>Druid</t>
        </is>
      </c>
      <c r="C51" s="8" t="inlineStr">
        <is>
          <t>Circle of the Stars</t>
        </is>
      </c>
      <c r="D51" s="8" t="inlineStr">
        <is>
          <t>Spell 5</t>
        </is>
      </c>
      <c r="E51" s="9" t="n">
        <v>3</v>
      </c>
      <c r="F51" s="8">
        <f>VLOOKUP("Level "&amp;E51,Model!$A$24:$B$32,2,FALSE)</f>
        <v/>
      </c>
      <c r="G51" s="8">
        <f>MAX(Model!$B$20,F51-Model!$B$19)</f>
        <v/>
      </c>
      <c r="H51" s="8">
        <f>F51-G51</f>
        <v/>
      </c>
    </row>
    <row r="52">
      <c r="A52" s="8" t="inlineStr">
        <is>
          <t>Druid|Circle of the Stars</t>
        </is>
      </c>
      <c r="B52" s="8" t="inlineStr">
        <is>
          <t>Druid</t>
        </is>
      </c>
      <c r="C52" s="8" t="inlineStr">
        <is>
          <t>Circle of the Stars</t>
        </is>
      </c>
      <c r="D52" s="8" t="inlineStr">
        <is>
          <t>Spell 6</t>
        </is>
      </c>
      <c r="E52" s="9" t="n">
        <v>3</v>
      </c>
      <c r="F52" s="8">
        <f>VLOOKUP("Level "&amp;E52,Model!$A$24:$B$32,2,FALSE)</f>
        <v/>
      </c>
      <c r="G52" s="8">
        <f>MAX(Model!$B$20,F52-Model!$B$19)</f>
        <v/>
      </c>
      <c r="H52" s="8">
        <f>F52-G52</f>
        <v/>
      </c>
    </row>
    <row r="53">
      <c r="A53" s="8" t="inlineStr">
        <is>
          <t>Druid|Circle of the Stars</t>
        </is>
      </c>
      <c r="B53" s="8" t="inlineStr">
        <is>
          <t>Druid</t>
        </is>
      </c>
      <c r="C53" s="8" t="inlineStr">
        <is>
          <t>Circle of the Stars</t>
        </is>
      </c>
      <c r="D53" s="8" t="inlineStr">
        <is>
          <t>Cantrip 1</t>
        </is>
      </c>
      <c r="E53" s="9" t="n">
        <v>0</v>
      </c>
      <c r="F53" s="8">
        <f>Model!$B$21</f>
        <v/>
      </c>
      <c r="G53" s="8">
        <f>Model!$B$21</f>
        <v/>
      </c>
      <c r="H53" s="8">
        <f>F53-G53</f>
        <v/>
      </c>
    </row>
    <row r="54">
      <c r="A54" s="8" t="inlineStr">
        <is>
          <t>Paladin|Oath of Devotion</t>
        </is>
      </c>
      <c r="B54" s="8" t="inlineStr">
        <is>
          <t>Paladin</t>
        </is>
      </c>
      <c r="C54" s="8" t="inlineStr">
        <is>
          <t>Oath of Devotion</t>
        </is>
      </c>
      <c r="D54" s="8" t="inlineStr">
        <is>
          <t>Spell 1</t>
        </is>
      </c>
      <c r="E54" s="9" t="n">
        <v>1</v>
      </c>
      <c r="F54" s="8">
        <f>VLOOKUP("Level "&amp;E54,Model!$A$24:$B$32,2,FALSE)</f>
        <v/>
      </c>
      <c r="G54" s="8">
        <f>MAX(Model!$B$20,F54-Model!$B$19)</f>
        <v/>
      </c>
      <c r="H54" s="8">
        <f>F54-G54</f>
        <v/>
      </c>
    </row>
    <row r="55">
      <c r="A55" s="8" t="inlineStr">
        <is>
          <t>Paladin|Oath of Devotion</t>
        </is>
      </c>
      <c r="B55" s="8" t="inlineStr">
        <is>
          <t>Paladin</t>
        </is>
      </c>
      <c r="C55" s="8" t="inlineStr">
        <is>
          <t>Oath of Devotion</t>
        </is>
      </c>
      <c r="D55" s="8" t="inlineStr">
        <is>
          <t>Spell 2</t>
        </is>
      </c>
      <c r="E55" s="9" t="n">
        <v>1</v>
      </c>
      <c r="F55" s="8">
        <f>VLOOKUP("Level "&amp;E55,Model!$A$24:$B$32,2,FALSE)</f>
        <v/>
      </c>
      <c r="G55" s="8">
        <f>MAX(Model!$B$20,F55-Model!$B$19)</f>
        <v/>
      </c>
      <c r="H55" s="8">
        <f>F55-G55</f>
        <v/>
      </c>
    </row>
    <row r="56">
      <c r="A56" s="8" t="inlineStr">
        <is>
          <t>Paladin|Oath of Devotion</t>
        </is>
      </c>
      <c r="B56" s="8" t="inlineStr">
        <is>
          <t>Paladin</t>
        </is>
      </c>
      <c r="C56" s="8" t="inlineStr">
        <is>
          <t>Oath of Devotion</t>
        </is>
      </c>
      <c r="D56" s="8" t="inlineStr">
        <is>
          <t>Spell 3</t>
        </is>
      </c>
      <c r="E56" s="9" t="n">
        <v>2</v>
      </c>
      <c r="F56" s="8">
        <f>VLOOKUP("Level "&amp;E56,Model!$A$24:$B$32,2,FALSE)</f>
        <v/>
      </c>
      <c r="G56" s="8">
        <f>MAX(Model!$B$20,F56-Model!$B$19)</f>
        <v/>
      </c>
      <c r="H56" s="8">
        <f>F56-G56</f>
        <v/>
      </c>
    </row>
    <row r="57">
      <c r="A57" s="8" t="inlineStr">
        <is>
          <t>Paladin|Oath of Devotion</t>
        </is>
      </c>
      <c r="B57" s="8" t="inlineStr">
        <is>
          <t>Paladin</t>
        </is>
      </c>
      <c r="C57" s="8" t="inlineStr">
        <is>
          <t>Oath of Devotion</t>
        </is>
      </c>
      <c r="D57" s="8" t="inlineStr">
        <is>
          <t>Spell 4</t>
        </is>
      </c>
      <c r="E57" s="9" t="n">
        <v>2</v>
      </c>
      <c r="F57" s="8">
        <f>VLOOKUP("Level "&amp;E57,Model!$A$24:$B$32,2,FALSE)</f>
        <v/>
      </c>
      <c r="G57" s="8">
        <f>MAX(Model!$B$20,F57-Model!$B$19)</f>
        <v/>
      </c>
      <c r="H57" s="8">
        <f>F57-G57</f>
        <v/>
      </c>
    </row>
    <row r="58">
      <c r="A58" s="8" t="inlineStr">
        <is>
          <t>Paladin|Oath of Glory</t>
        </is>
      </c>
      <c r="B58" s="8" t="inlineStr">
        <is>
          <t>Paladin</t>
        </is>
      </c>
      <c r="C58" s="8" t="inlineStr">
        <is>
          <t>Oath of Glory</t>
        </is>
      </c>
      <c r="D58" s="8" t="inlineStr">
        <is>
          <t>Spell 1</t>
        </is>
      </c>
      <c r="E58" s="9" t="n">
        <v>1</v>
      </c>
      <c r="F58" s="8">
        <f>VLOOKUP("Level "&amp;E58,Model!$A$24:$B$32,2,FALSE)</f>
        <v/>
      </c>
      <c r="G58" s="8">
        <f>MAX(Model!$B$20,F58-Model!$B$19)</f>
        <v/>
      </c>
      <c r="H58" s="8">
        <f>F58-G58</f>
        <v/>
      </c>
    </row>
    <row r="59">
      <c r="A59" s="8" t="inlineStr">
        <is>
          <t>Paladin|Oath of Glory</t>
        </is>
      </c>
      <c r="B59" s="8" t="inlineStr">
        <is>
          <t>Paladin</t>
        </is>
      </c>
      <c r="C59" s="8" t="inlineStr">
        <is>
          <t>Oath of Glory</t>
        </is>
      </c>
      <c r="D59" s="8" t="inlineStr">
        <is>
          <t>Spell 2</t>
        </is>
      </c>
      <c r="E59" s="9" t="n">
        <v>1</v>
      </c>
      <c r="F59" s="8">
        <f>VLOOKUP("Level "&amp;E59,Model!$A$24:$B$32,2,FALSE)</f>
        <v/>
      </c>
      <c r="G59" s="8">
        <f>MAX(Model!$B$20,F59-Model!$B$19)</f>
        <v/>
      </c>
      <c r="H59" s="8">
        <f>F59-G59</f>
        <v/>
      </c>
    </row>
    <row r="60">
      <c r="A60" s="8" t="inlineStr">
        <is>
          <t>Paladin|Oath of Glory</t>
        </is>
      </c>
      <c r="B60" s="8" t="inlineStr">
        <is>
          <t>Paladin</t>
        </is>
      </c>
      <c r="C60" s="8" t="inlineStr">
        <is>
          <t>Oath of Glory</t>
        </is>
      </c>
      <c r="D60" s="8" t="inlineStr">
        <is>
          <t>Spell 3</t>
        </is>
      </c>
      <c r="E60" s="9" t="n">
        <v>2</v>
      </c>
      <c r="F60" s="8">
        <f>VLOOKUP("Level "&amp;E60,Model!$A$24:$B$32,2,FALSE)</f>
        <v/>
      </c>
      <c r="G60" s="8">
        <f>MAX(Model!$B$20,F60-Model!$B$19)</f>
        <v/>
      </c>
      <c r="H60" s="8">
        <f>F60-G60</f>
        <v/>
      </c>
    </row>
    <row r="61">
      <c r="A61" s="8" t="inlineStr">
        <is>
          <t>Paladin|Oath of Glory</t>
        </is>
      </c>
      <c r="B61" s="8" t="inlineStr">
        <is>
          <t>Paladin</t>
        </is>
      </c>
      <c r="C61" s="8" t="inlineStr">
        <is>
          <t>Oath of Glory</t>
        </is>
      </c>
      <c r="D61" s="8" t="inlineStr">
        <is>
          <t>Spell 4</t>
        </is>
      </c>
      <c r="E61" s="9" t="n">
        <v>2</v>
      </c>
      <c r="F61" s="8">
        <f>VLOOKUP("Level "&amp;E61,Model!$A$24:$B$32,2,FALSE)</f>
        <v/>
      </c>
      <c r="G61" s="8">
        <f>MAX(Model!$B$20,F61-Model!$B$19)</f>
        <v/>
      </c>
      <c r="H61" s="8">
        <f>F61-G61</f>
        <v/>
      </c>
    </row>
    <row r="62">
      <c r="A62" s="8" t="inlineStr">
        <is>
          <t>Paladin|Oath of the Ancients</t>
        </is>
      </c>
      <c r="B62" s="8" t="inlineStr">
        <is>
          <t>Paladin</t>
        </is>
      </c>
      <c r="C62" s="8" t="inlineStr">
        <is>
          <t>Oath of the Ancients</t>
        </is>
      </c>
      <c r="D62" s="8" t="inlineStr">
        <is>
          <t>Spell 1</t>
        </is>
      </c>
      <c r="E62" s="9" t="n">
        <v>1</v>
      </c>
      <c r="F62" s="8">
        <f>VLOOKUP("Level "&amp;E62,Model!$A$24:$B$32,2,FALSE)</f>
        <v/>
      </c>
      <c r="G62" s="8">
        <f>MAX(Model!$B$20,F62-Model!$B$19)</f>
        <v/>
      </c>
      <c r="H62" s="8">
        <f>F62-G62</f>
        <v/>
      </c>
    </row>
    <row r="63">
      <c r="A63" s="8" t="inlineStr">
        <is>
          <t>Paladin|Oath of the Ancients</t>
        </is>
      </c>
      <c r="B63" s="8" t="inlineStr">
        <is>
          <t>Paladin</t>
        </is>
      </c>
      <c r="C63" s="8" t="inlineStr">
        <is>
          <t>Oath of the Ancients</t>
        </is>
      </c>
      <c r="D63" s="8" t="inlineStr">
        <is>
          <t>Spell 2</t>
        </is>
      </c>
      <c r="E63" s="9" t="n">
        <v>1</v>
      </c>
      <c r="F63" s="8">
        <f>VLOOKUP("Level "&amp;E63,Model!$A$24:$B$32,2,FALSE)</f>
        <v/>
      </c>
      <c r="G63" s="8">
        <f>MAX(Model!$B$20,F63-Model!$B$19)</f>
        <v/>
      </c>
      <c r="H63" s="8">
        <f>F63-G63</f>
        <v/>
      </c>
    </row>
    <row r="64">
      <c r="A64" s="8" t="inlineStr">
        <is>
          <t>Paladin|Oath of the Ancients</t>
        </is>
      </c>
      <c r="B64" s="8" t="inlineStr">
        <is>
          <t>Paladin</t>
        </is>
      </c>
      <c r="C64" s="8" t="inlineStr">
        <is>
          <t>Oath of the Ancients</t>
        </is>
      </c>
      <c r="D64" s="8" t="inlineStr">
        <is>
          <t>Spell 3</t>
        </is>
      </c>
      <c r="E64" s="9" t="n">
        <v>2</v>
      </c>
      <c r="F64" s="8">
        <f>VLOOKUP("Level "&amp;E64,Model!$A$24:$B$32,2,FALSE)</f>
        <v/>
      </c>
      <c r="G64" s="8">
        <f>MAX(Model!$B$20,F64-Model!$B$19)</f>
        <v/>
      </c>
      <c r="H64" s="8">
        <f>F64-G64</f>
        <v/>
      </c>
    </row>
    <row r="65">
      <c r="A65" s="8" t="inlineStr">
        <is>
          <t>Paladin|Oath of the Ancients</t>
        </is>
      </c>
      <c r="B65" s="8" t="inlineStr">
        <is>
          <t>Paladin</t>
        </is>
      </c>
      <c r="C65" s="8" t="inlineStr">
        <is>
          <t>Oath of the Ancients</t>
        </is>
      </c>
      <c r="D65" s="8" t="inlineStr">
        <is>
          <t>Spell 4</t>
        </is>
      </c>
      <c r="E65" s="9" t="n">
        <v>2</v>
      </c>
      <c r="F65" s="8">
        <f>VLOOKUP("Level "&amp;E65,Model!$A$24:$B$32,2,FALSE)</f>
        <v/>
      </c>
      <c r="G65" s="8">
        <f>MAX(Model!$B$20,F65-Model!$B$19)</f>
        <v/>
      </c>
      <c r="H65" s="8">
        <f>F65-G65</f>
        <v/>
      </c>
    </row>
    <row r="66">
      <c r="A66" s="8" t="inlineStr">
        <is>
          <t>Paladin|Oath of Vengeance</t>
        </is>
      </c>
      <c r="B66" s="8" t="inlineStr">
        <is>
          <t>Paladin</t>
        </is>
      </c>
      <c r="C66" s="8" t="inlineStr">
        <is>
          <t>Oath of Vengeance</t>
        </is>
      </c>
      <c r="D66" s="8" t="inlineStr">
        <is>
          <t>Spell 1</t>
        </is>
      </c>
      <c r="E66" s="9" t="n">
        <v>1</v>
      </c>
      <c r="F66" s="8">
        <f>VLOOKUP("Level "&amp;E66,Model!$A$24:$B$32,2,FALSE)</f>
        <v/>
      </c>
      <c r="G66" s="8">
        <f>MAX(Model!$B$20,F66-Model!$B$19)</f>
        <v/>
      </c>
      <c r="H66" s="8">
        <f>F66-G66</f>
        <v/>
      </c>
    </row>
    <row r="67">
      <c r="A67" s="8" t="inlineStr">
        <is>
          <t>Paladin|Oath of Vengeance</t>
        </is>
      </c>
      <c r="B67" s="8" t="inlineStr">
        <is>
          <t>Paladin</t>
        </is>
      </c>
      <c r="C67" s="8" t="inlineStr">
        <is>
          <t>Oath of Vengeance</t>
        </is>
      </c>
      <c r="D67" s="8" t="inlineStr">
        <is>
          <t>Spell 2</t>
        </is>
      </c>
      <c r="E67" s="9" t="n">
        <v>1</v>
      </c>
      <c r="F67" s="8">
        <f>VLOOKUP("Level "&amp;E67,Model!$A$24:$B$32,2,FALSE)</f>
        <v/>
      </c>
      <c r="G67" s="8">
        <f>MAX(Model!$B$20,F67-Model!$B$19)</f>
        <v/>
      </c>
      <c r="H67" s="8">
        <f>F67-G67</f>
        <v/>
      </c>
    </row>
    <row r="68">
      <c r="A68" s="8" t="inlineStr">
        <is>
          <t>Paladin|Oath of Vengeance</t>
        </is>
      </c>
      <c r="B68" s="8" t="inlineStr">
        <is>
          <t>Paladin</t>
        </is>
      </c>
      <c r="C68" s="8" t="inlineStr">
        <is>
          <t>Oath of Vengeance</t>
        </is>
      </c>
      <c r="D68" s="8" t="inlineStr">
        <is>
          <t>Spell 3</t>
        </is>
      </c>
      <c r="E68" s="9" t="n">
        <v>2</v>
      </c>
      <c r="F68" s="8">
        <f>VLOOKUP("Level "&amp;E68,Model!$A$24:$B$32,2,FALSE)</f>
        <v/>
      </c>
      <c r="G68" s="8">
        <f>MAX(Model!$B$20,F68-Model!$B$19)</f>
        <v/>
      </c>
      <c r="H68" s="8">
        <f>F68-G68</f>
        <v/>
      </c>
    </row>
    <row r="69">
      <c r="A69" s="8" t="inlineStr">
        <is>
          <t>Paladin|Oath of Vengeance</t>
        </is>
      </c>
      <c r="B69" s="8" t="inlineStr">
        <is>
          <t>Paladin</t>
        </is>
      </c>
      <c r="C69" s="8" t="inlineStr">
        <is>
          <t>Oath of Vengeance</t>
        </is>
      </c>
      <c r="D69" s="8" t="inlineStr">
        <is>
          <t>Spell 4</t>
        </is>
      </c>
      <c r="E69" s="9" t="n">
        <v>2</v>
      </c>
      <c r="F69" s="8">
        <f>VLOOKUP("Level "&amp;E69,Model!$A$24:$B$32,2,FALSE)</f>
        <v/>
      </c>
      <c r="G69" s="8">
        <f>MAX(Model!$B$20,F69-Model!$B$19)</f>
        <v/>
      </c>
      <c r="H69" s="8">
        <f>F69-G69</f>
        <v/>
      </c>
    </row>
    <row r="70">
      <c r="A70" s="8" t="inlineStr">
        <is>
          <t>Ranger|Fey Wanderer</t>
        </is>
      </c>
      <c r="B70" s="8" t="inlineStr">
        <is>
          <t>Ranger</t>
        </is>
      </c>
      <c r="C70" s="8" t="inlineStr">
        <is>
          <t>Fey Wanderer</t>
        </is>
      </c>
      <c r="D70" s="8" t="inlineStr">
        <is>
          <t>Spell 1</t>
        </is>
      </c>
      <c r="E70" s="9" t="n">
        <v>1</v>
      </c>
      <c r="F70" s="8">
        <f>VLOOKUP("Level "&amp;E70,Model!$A$24:$B$32,2,FALSE)</f>
        <v/>
      </c>
      <c r="G70" s="8">
        <f>MAX(Model!$B$20,F70-Model!$B$19)</f>
        <v/>
      </c>
      <c r="H70" s="8">
        <f>F70-G70</f>
        <v/>
      </c>
    </row>
    <row r="71">
      <c r="A71" s="8" t="inlineStr">
        <is>
          <t>Ranger|Fey Wanderer</t>
        </is>
      </c>
      <c r="B71" s="8" t="inlineStr">
        <is>
          <t>Ranger</t>
        </is>
      </c>
      <c r="C71" s="8" t="inlineStr">
        <is>
          <t>Fey Wanderer</t>
        </is>
      </c>
      <c r="D71" s="8" t="inlineStr">
        <is>
          <t>Spell 2</t>
        </is>
      </c>
      <c r="E71" s="9" t="n">
        <v>2</v>
      </c>
      <c r="F71" s="8">
        <f>VLOOKUP("Level "&amp;E71,Model!$A$24:$B$32,2,FALSE)</f>
        <v/>
      </c>
      <c r="G71" s="8">
        <f>MAX(Model!$B$20,F71-Model!$B$19)</f>
        <v/>
      </c>
      <c r="H71" s="8">
        <f>F71-G71</f>
        <v/>
      </c>
    </row>
    <row r="72">
      <c r="A72" s="8" t="inlineStr">
        <is>
          <t>Ranger|Gloom Stalker</t>
        </is>
      </c>
      <c r="B72" s="8" t="inlineStr">
        <is>
          <t>Ranger</t>
        </is>
      </c>
      <c r="C72" s="8" t="inlineStr">
        <is>
          <t>Gloom Stalker</t>
        </is>
      </c>
      <c r="D72" s="8" t="inlineStr">
        <is>
          <t>Spell 1</t>
        </is>
      </c>
      <c r="E72" s="9" t="n">
        <v>1</v>
      </c>
      <c r="F72" s="8">
        <f>VLOOKUP("Level "&amp;E72,Model!$A$24:$B$32,2,FALSE)</f>
        <v/>
      </c>
      <c r="G72" s="8">
        <f>MAX(Model!$B$20,F72-Model!$B$19)</f>
        <v/>
      </c>
      <c r="H72" s="8">
        <f>F72-G72</f>
        <v/>
      </c>
    </row>
    <row r="73">
      <c r="A73" s="8" t="inlineStr">
        <is>
          <t>Ranger|Gloom Stalker</t>
        </is>
      </c>
      <c r="B73" s="8" t="inlineStr">
        <is>
          <t>Ranger</t>
        </is>
      </c>
      <c r="C73" s="8" t="inlineStr">
        <is>
          <t>Gloom Stalker</t>
        </is>
      </c>
      <c r="D73" s="8" t="inlineStr">
        <is>
          <t>Spell 2</t>
        </is>
      </c>
      <c r="E73" s="9" t="n">
        <v>2</v>
      </c>
      <c r="F73" s="8">
        <f>VLOOKUP("Level "&amp;E73,Model!$A$24:$B$32,2,FALSE)</f>
        <v/>
      </c>
      <c r="G73" s="8">
        <f>MAX(Model!$B$20,F73-Model!$B$19)</f>
        <v/>
      </c>
      <c r="H73" s="8">
        <f>F73-G73</f>
        <v/>
      </c>
    </row>
    <row r="74">
      <c r="A74" s="8" t="inlineStr">
        <is>
          <t>Sorcerer|Aberrant Sorcery</t>
        </is>
      </c>
      <c r="B74" s="8" t="inlineStr">
        <is>
          <t>Sorcerer</t>
        </is>
      </c>
      <c r="C74" s="8" t="inlineStr">
        <is>
          <t>Aberrant Sorcery</t>
        </is>
      </c>
      <c r="D74" s="8" t="inlineStr">
        <is>
          <t>Spell 1</t>
        </is>
      </c>
      <c r="E74" s="9" t="n">
        <v>1</v>
      </c>
      <c r="F74" s="8">
        <f>VLOOKUP("Level "&amp;E74,Model!$A$24:$B$32,2,FALSE)</f>
        <v/>
      </c>
      <c r="G74" s="8">
        <f>MAX(Model!$B$20,F74-Model!$B$19)</f>
        <v/>
      </c>
      <c r="H74" s="8">
        <f>F74-G74</f>
        <v/>
      </c>
    </row>
    <row r="75">
      <c r="A75" s="8" t="inlineStr">
        <is>
          <t>Sorcerer|Aberrant Sorcery</t>
        </is>
      </c>
      <c r="B75" s="8" t="inlineStr">
        <is>
          <t>Sorcerer</t>
        </is>
      </c>
      <c r="C75" s="8" t="inlineStr">
        <is>
          <t>Aberrant Sorcery</t>
        </is>
      </c>
      <c r="D75" s="8" t="inlineStr">
        <is>
          <t>Spell 2</t>
        </is>
      </c>
      <c r="E75" s="9" t="n">
        <v>1</v>
      </c>
      <c r="F75" s="8">
        <f>VLOOKUP("Level "&amp;E75,Model!$A$24:$B$32,2,FALSE)</f>
        <v/>
      </c>
      <c r="G75" s="8">
        <f>MAX(Model!$B$20,F75-Model!$B$19)</f>
        <v/>
      </c>
      <c r="H75" s="8">
        <f>F75-G75</f>
        <v/>
      </c>
    </row>
    <row r="76">
      <c r="A76" s="8" t="inlineStr">
        <is>
          <t>Sorcerer|Aberrant Sorcery</t>
        </is>
      </c>
      <c r="B76" s="8" t="inlineStr">
        <is>
          <t>Sorcerer</t>
        </is>
      </c>
      <c r="C76" s="8" t="inlineStr">
        <is>
          <t>Aberrant Sorcery</t>
        </is>
      </c>
      <c r="D76" s="8" t="inlineStr">
        <is>
          <t>Spell 3</t>
        </is>
      </c>
      <c r="E76" s="9" t="n">
        <v>2</v>
      </c>
      <c r="F76" s="8">
        <f>VLOOKUP("Level "&amp;E76,Model!$A$24:$B$32,2,FALSE)</f>
        <v/>
      </c>
      <c r="G76" s="8">
        <f>MAX(Model!$B$20,F76-Model!$B$19)</f>
        <v/>
      </c>
      <c r="H76" s="8">
        <f>F76-G76</f>
        <v/>
      </c>
    </row>
    <row r="77">
      <c r="A77" s="8" t="inlineStr">
        <is>
          <t>Sorcerer|Aberrant Sorcery</t>
        </is>
      </c>
      <c r="B77" s="8" t="inlineStr">
        <is>
          <t>Sorcerer</t>
        </is>
      </c>
      <c r="C77" s="8" t="inlineStr">
        <is>
          <t>Aberrant Sorcery</t>
        </is>
      </c>
      <c r="D77" s="8" t="inlineStr">
        <is>
          <t>Spell 4</t>
        </is>
      </c>
      <c r="E77" s="9" t="n">
        <v>2</v>
      </c>
      <c r="F77" s="8">
        <f>VLOOKUP("Level "&amp;E77,Model!$A$24:$B$32,2,FALSE)</f>
        <v/>
      </c>
      <c r="G77" s="8">
        <f>MAX(Model!$B$20,F77-Model!$B$19)</f>
        <v/>
      </c>
      <c r="H77" s="8">
        <f>F77-G77</f>
        <v/>
      </c>
    </row>
    <row r="78">
      <c r="A78" s="8" t="inlineStr">
        <is>
          <t>Sorcerer|Aberrant Sorcery</t>
        </is>
      </c>
      <c r="B78" s="8" t="inlineStr">
        <is>
          <t>Sorcerer</t>
        </is>
      </c>
      <c r="C78" s="8" t="inlineStr">
        <is>
          <t>Aberrant Sorcery</t>
        </is>
      </c>
      <c r="D78" s="8" t="inlineStr">
        <is>
          <t>Spell 5</t>
        </is>
      </c>
      <c r="E78" s="9" t="n">
        <v>3</v>
      </c>
      <c r="F78" s="8">
        <f>VLOOKUP("Level "&amp;E78,Model!$A$24:$B$32,2,FALSE)</f>
        <v/>
      </c>
      <c r="G78" s="8">
        <f>MAX(Model!$B$20,F78-Model!$B$19)</f>
        <v/>
      </c>
      <c r="H78" s="8">
        <f>F78-G78</f>
        <v/>
      </c>
    </row>
    <row r="79">
      <c r="A79" s="8" t="inlineStr">
        <is>
          <t>Sorcerer|Aberrant Sorcery</t>
        </is>
      </c>
      <c r="B79" s="8" t="inlineStr">
        <is>
          <t>Sorcerer</t>
        </is>
      </c>
      <c r="C79" s="8" t="inlineStr">
        <is>
          <t>Aberrant Sorcery</t>
        </is>
      </c>
      <c r="D79" s="8" t="inlineStr">
        <is>
          <t>Spell 6</t>
        </is>
      </c>
      <c r="E79" s="9" t="n">
        <v>3</v>
      </c>
      <c r="F79" s="8">
        <f>VLOOKUP("Level "&amp;E79,Model!$A$24:$B$32,2,FALSE)</f>
        <v/>
      </c>
      <c r="G79" s="8">
        <f>MAX(Model!$B$20,F79-Model!$B$19)</f>
        <v/>
      </c>
      <c r="H79" s="8">
        <f>F79-G79</f>
        <v/>
      </c>
    </row>
    <row r="80">
      <c r="A80" s="8" t="inlineStr">
        <is>
          <t>Sorcerer|Aberrant Sorcery</t>
        </is>
      </c>
      <c r="B80" s="8" t="inlineStr">
        <is>
          <t>Sorcerer</t>
        </is>
      </c>
      <c r="C80" s="8" t="inlineStr">
        <is>
          <t>Aberrant Sorcery</t>
        </is>
      </c>
      <c r="D80" s="8" t="inlineStr">
        <is>
          <t>Cantrip 1</t>
        </is>
      </c>
      <c r="E80" s="9" t="n">
        <v>0</v>
      </c>
      <c r="F80" s="8">
        <f>Model!$B$21</f>
        <v/>
      </c>
      <c r="G80" s="8">
        <f>Model!$B$21</f>
        <v/>
      </c>
      <c r="H80" s="8">
        <f>F80-G80</f>
        <v/>
      </c>
    </row>
    <row r="81">
      <c r="A81" s="8" t="inlineStr">
        <is>
          <t>Sorcerer|Clockwork Sorcery</t>
        </is>
      </c>
      <c r="B81" s="8" t="inlineStr">
        <is>
          <t>Sorcerer</t>
        </is>
      </c>
      <c r="C81" s="8" t="inlineStr">
        <is>
          <t>Clockwork Sorcery</t>
        </is>
      </c>
      <c r="D81" s="8" t="inlineStr">
        <is>
          <t>Spell 1</t>
        </is>
      </c>
      <c r="E81" s="9" t="n">
        <v>1</v>
      </c>
      <c r="F81" s="8">
        <f>VLOOKUP("Level "&amp;E81,Model!$A$24:$B$32,2,FALSE)</f>
        <v/>
      </c>
      <c r="G81" s="8">
        <f>MAX(Model!$B$20,F81-Model!$B$19)</f>
        <v/>
      </c>
      <c r="H81" s="8">
        <f>F81-G81</f>
        <v/>
      </c>
    </row>
    <row r="82">
      <c r="A82" s="8" t="inlineStr">
        <is>
          <t>Sorcerer|Clockwork Sorcery</t>
        </is>
      </c>
      <c r="B82" s="8" t="inlineStr">
        <is>
          <t>Sorcerer</t>
        </is>
      </c>
      <c r="C82" s="8" t="inlineStr">
        <is>
          <t>Clockwork Sorcery</t>
        </is>
      </c>
      <c r="D82" s="8" t="inlineStr">
        <is>
          <t>Spell 2</t>
        </is>
      </c>
      <c r="E82" s="9" t="n">
        <v>1</v>
      </c>
      <c r="F82" s="8">
        <f>VLOOKUP("Level "&amp;E82,Model!$A$24:$B$32,2,FALSE)</f>
        <v/>
      </c>
      <c r="G82" s="8">
        <f>MAX(Model!$B$20,F82-Model!$B$19)</f>
        <v/>
      </c>
      <c r="H82" s="8">
        <f>F82-G82</f>
        <v/>
      </c>
    </row>
    <row r="83">
      <c r="A83" s="8" t="inlineStr">
        <is>
          <t>Sorcerer|Clockwork Sorcery</t>
        </is>
      </c>
      <c r="B83" s="8" t="inlineStr">
        <is>
          <t>Sorcerer</t>
        </is>
      </c>
      <c r="C83" s="8" t="inlineStr">
        <is>
          <t>Clockwork Sorcery</t>
        </is>
      </c>
      <c r="D83" s="8" t="inlineStr">
        <is>
          <t>Spell 3</t>
        </is>
      </c>
      <c r="E83" s="9" t="n">
        <v>2</v>
      </c>
      <c r="F83" s="8">
        <f>VLOOKUP("Level "&amp;E83,Model!$A$24:$B$32,2,FALSE)</f>
        <v/>
      </c>
      <c r="G83" s="8">
        <f>MAX(Model!$B$20,F83-Model!$B$19)</f>
        <v/>
      </c>
      <c r="H83" s="8">
        <f>F83-G83</f>
        <v/>
      </c>
    </row>
    <row r="84">
      <c r="A84" s="8" t="inlineStr">
        <is>
          <t>Sorcerer|Clockwork Sorcery</t>
        </is>
      </c>
      <c r="B84" s="8" t="inlineStr">
        <is>
          <t>Sorcerer</t>
        </is>
      </c>
      <c r="C84" s="8" t="inlineStr">
        <is>
          <t>Clockwork Sorcery</t>
        </is>
      </c>
      <c r="D84" s="8" t="inlineStr">
        <is>
          <t>Spell 4</t>
        </is>
      </c>
      <c r="E84" s="9" t="n">
        <v>2</v>
      </c>
      <c r="F84" s="8">
        <f>VLOOKUP("Level "&amp;E84,Model!$A$24:$B$32,2,FALSE)</f>
        <v/>
      </c>
      <c r="G84" s="8">
        <f>MAX(Model!$B$20,F84-Model!$B$19)</f>
        <v/>
      </c>
      <c r="H84" s="8">
        <f>F84-G84</f>
        <v/>
      </c>
    </row>
    <row r="85">
      <c r="A85" s="8" t="inlineStr">
        <is>
          <t>Sorcerer|Clockwork Sorcery</t>
        </is>
      </c>
      <c r="B85" s="8" t="inlineStr">
        <is>
          <t>Sorcerer</t>
        </is>
      </c>
      <c r="C85" s="8" t="inlineStr">
        <is>
          <t>Clockwork Sorcery</t>
        </is>
      </c>
      <c r="D85" s="8" t="inlineStr">
        <is>
          <t>Spell 5</t>
        </is>
      </c>
      <c r="E85" s="9" t="n">
        <v>3</v>
      </c>
      <c r="F85" s="8">
        <f>VLOOKUP("Level "&amp;E85,Model!$A$24:$B$32,2,FALSE)</f>
        <v/>
      </c>
      <c r="G85" s="8">
        <f>MAX(Model!$B$20,F85-Model!$B$19)</f>
        <v/>
      </c>
      <c r="H85" s="8">
        <f>F85-G85</f>
        <v/>
      </c>
    </row>
    <row r="86">
      <c r="A86" s="8" t="inlineStr">
        <is>
          <t>Sorcerer|Clockwork Sorcery</t>
        </is>
      </c>
      <c r="B86" s="8" t="inlineStr">
        <is>
          <t>Sorcerer</t>
        </is>
      </c>
      <c r="C86" s="8" t="inlineStr">
        <is>
          <t>Clockwork Sorcery</t>
        </is>
      </c>
      <c r="D86" s="8" t="inlineStr">
        <is>
          <t>Spell 6</t>
        </is>
      </c>
      <c r="E86" s="9" t="n">
        <v>3</v>
      </c>
      <c r="F86" s="8">
        <f>VLOOKUP("Level "&amp;E86,Model!$A$24:$B$32,2,FALSE)</f>
        <v/>
      </c>
      <c r="G86" s="8">
        <f>MAX(Model!$B$20,F86-Model!$B$19)</f>
        <v/>
      </c>
      <c r="H86" s="8">
        <f>F86-G86</f>
        <v/>
      </c>
    </row>
    <row r="87">
      <c r="A87" s="8" t="inlineStr">
        <is>
          <t>Sorcerer|Draconic Sorcery</t>
        </is>
      </c>
      <c r="B87" s="8" t="inlineStr">
        <is>
          <t>Sorcerer</t>
        </is>
      </c>
      <c r="C87" s="8" t="inlineStr">
        <is>
          <t>Draconic Sorcery</t>
        </is>
      </c>
      <c r="D87" s="8" t="inlineStr">
        <is>
          <t>Spell 1</t>
        </is>
      </c>
      <c r="E87" s="9" t="n">
        <v>1</v>
      </c>
      <c r="F87" s="8">
        <f>VLOOKUP("Level "&amp;E87,Model!$A$24:$B$32,2,FALSE)</f>
        <v/>
      </c>
      <c r="G87" s="8">
        <f>MAX(Model!$B$20,F87-Model!$B$19)</f>
        <v/>
      </c>
      <c r="H87" s="8">
        <f>F87-G87</f>
        <v/>
      </c>
    </row>
    <row r="88">
      <c r="A88" s="8" t="inlineStr">
        <is>
          <t>Sorcerer|Draconic Sorcery</t>
        </is>
      </c>
      <c r="B88" s="8" t="inlineStr">
        <is>
          <t>Sorcerer</t>
        </is>
      </c>
      <c r="C88" s="8" t="inlineStr">
        <is>
          <t>Draconic Sorcery</t>
        </is>
      </c>
      <c r="D88" s="8" t="inlineStr">
        <is>
          <t>Spell 2</t>
        </is>
      </c>
      <c r="E88" s="9" t="n">
        <v>1</v>
      </c>
      <c r="F88" s="8">
        <f>VLOOKUP("Level "&amp;E88,Model!$A$24:$B$32,2,FALSE)</f>
        <v/>
      </c>
      <c r="G88" s="8">
        <f>MAX(Model!$B$20,F88-Model!$B$19)</f>
        <v/>
      </c>
      <c r="H88" s="8">
        <f>F88-G88</f>
        <v/>
      </c>
    </row>
    <row r="89">
      <c r="A89" s="8" t="inlineStr">
        <is>
          <t>Sorcerer|Draconic Sorcery</t>
        </is>
      </c>
      <c r="B89" s="8" t="inlineStr">
        <is>
          <t>Sorcerer</t>
        </is>
      </c>
      <c r="C89" s="8" t="inlineStr">
        <is>
          <t>Draconic Sorcery</t>
        </is>
      </c>
      <c r="D89" s="8" t="inlineStr">
        <is>
          <t>Spell 3</t>
        </is>
      </c>
      <c r="E89" s="9" t="n">
        <v>2</v>
      </c>
      <c r="F89" s="8">
        <f>VLOOKUP("Level "&amp;E89,Model!$A$24:$B$32,2,FALSE)</f>
        <v/>
      </c>
      <c r="G89" s="8">
        <f>MAX(Model!$B$20,F89-Model!$B$19)</f>
        <v/>
      </c>
      <c r="H89" s="8">
        <f>F89-G89</f>
        <v/>
      </c>
    </row>
    <row r="90">
      <c r="A90" s="8" t="inlineStr">
        <is>
          <t>Sorcerer|Draconic Sorcery</t>
        </is>
      </c>
      <c r="B90" s="8" t="inlineStr">
        <is>
          <t>Sorcerer</t>
        </is>
      </c>
      <c r="C90" s="8" t="inlineStr">
        <is>
          <t>Draconic Sorcery</t>
        </is>
      </c>
      <c r="D90" s="8" t="inlineStr">
        <is>
          <t>Spell 4</t>
        </is>
      </c>
      <c r="E90" s="9" t="n">
        <v>2</v>
      </c>
      <c r="F90" s="8">
        <f>VLOOKUP("Level "&amp;E90,Model!$A$24:$B$32,2,FALSE)</f>
        <v/>
      </c>
      <c r="G90" s="8">
        <f>MAX(Model!$B$20,F90-Model!$B$19)</f>
        <v/>
      </c>
      <c r="H90" s="8">
        <f>F90-G90</f>
        <v/>
      </c>
    </row>
    <row r="91">
      <c r="A91" s="8" t="inlineStr">
        <is>
          <t>Sorcerer|Draconic Sorcery</t>
        </is>
      </c>
      <c r="B91" s="8" t="inlineStr">
        <is>
          <t>Sorcerer</t>
        </is>
      </c>
      <c r="C91" s="8" t="inlineStr">
        <is>
          <t>Draconic Sorcery</t>
        </is>
      </c>
      <c r="D91" s="8" t="inlineStr">
        <is>
          <t>Spell 5</t>
        </is>
      </c>
      <c r="E91" s="9" t="n">
        <v>3</v>
      </c>
      <c r="F91" s="8">
        <f>VLOOKUP("Level "&amp;E91,Model!$A$24:$B$32,2,FALSE)</f>
        <v/>
      </c>
      <c r="G91" s="8">
        <f>MAX(Model!$B$20,F91-Model!$B$19)</f>
        <v/>
      </c>
      <c r="H91" s="8">
        <f>F91-G91</f>
        <v/>
      </c>
    </row>
    <row r="92">
      <c r="A92" s="8" t="inlineStr">
        <is>
          <t>Sorcerer|Draconic Sorcery</t>
        </is>
      </c>
      <c r="B92" s="8" t="inlineStr">
        <is>
          <t>Sorcerer</t>
        </is>
      </c>
      <c r="C92" s="8" t="inlineStr">
        <is>
          <t>Draconic Sorcery</t>
        </is>
      </c>
      <c r="D92" s="8" t="inlineStr">
        <is>
          <t>Spell 6</t>
        </is>
      </c>
      <c r="E92" s="9" t="n">
        <v>3</v>
      </c>
      <c r="F92" s="8">
        <f>VLOOKUP("Level "&amp;E92,Model!$A$24:$B$32,2,FALSE)</f>
        <v/>
      </c>
      <c r="G92" s="8">
        <f>MAX(Model!$B$20,F92-Model!$B$19)</f>
        <v/>
      </c>
      <c r="H92" s="8">
        <f>F92-G92</f>
        <v/>
      </c>
    </row>
    <row r="93">
      <c r="A93" s="8" t="inlineStr">
        <is>
          <t>Warlock|Archfey Patron</t>
        </is>
      </c>
      <c r="B93" s="8" t="inlineStr">
        <is>
          <t>Warlock</t>
        </is>
      </c>
      <c r="C93" s="8" t="inlineStr">
        <is>
          <t>Archfey Patron</t>
        </is>
      </c>
      <c r="D93" s="8" t="inlineStr">
        <is>
          <t>Spell 1</t>
        </is>
      </c>
      <c r="E93" s="9" t="n">
        <v>1</v>
      </c>
      <c r="F93" s="8">
        <f>VLOOKUP("Level "&amp;E93,Model!$A$24:$B$32,2,FALSE)</f>
        <v/>
      </c>
      <c r="G93" s="8">
        <f>MAX(Model!$B$20,F93-Model!$B$19)</f>
        <v/>
      </c>
      <c r="H93" s="8">
        <f>F93-G93</f>
        <v/>
      </c>
    </row>
    <row r="94">
      <c r="A94" s="8" t="inlineStr">
        <is>
          <t>Warlock|Archfey Patron</t>
        </is>
      </c>
      <c r="B94" s="8" t="inlineStr">
        <is>
          <t>Warlock</t>
        </is>
      </c>
      <c r="C94" s="8" t="inlineStr">
        <is>
          <t>Archfey Patron</t>
        </is>
      </c>
      <c r="D94" s="8" t="inlineStr">
        <is>
          <t>Spell 2</t>
        </is>
      </c>
      <c r="E94" s="9" t="n">
        <v>1</v>
      </c>
      <c r="F94" s="8">
        <f>VLOOKUP("Level "&amp;E94,Model!$A$24:$B$32,2,FALSE)</f>
        <v/>
      </c>
      <c r="G94" s="8">
        <f>MAX(Model!$B$20,F94-Model!$B$19)</f>
        <v/>
      </c>
      <c r="H94" s="8">
        <f>F94-G94</f>
        <v/>
      </c>
    </row>
    <row r="95">
      <c r="A95" s="8" t="inlineStr">
        <is>
          <t>Warlock|Archfey Patron</t>
        </is>
      </c>
      <c r="B95" s="8" t="inlineStr">
        <is>
          <t>Warlock</t>
        </is>
      </c>
      <c r="C95" s="8" t="inlineStr">
        <is>
          <t>Archfey Patron</t>
        </is>
      </c>
      <c r="D95" s="8" t="inlineStr">
        <is>
          <t>Spell 3</t>
        </is>
      </c>
      <c r="E95" s="9" t="n">
        <v>2</v>
      </c>
      <c r="F95" s="8">
        <f>VLOOKUP("Level "&amp;E95,Model!$A$24:$B$32,2,FALSE)</f>
        <v/>
      </c>
      <c r="G95" s="8">
        <f>MAX(Model!$B$20,F95-Model!$B$19)</f>
        <v/>
      </c>
      <c r="H95" s="8">
        <f>F95-G95</f>
        <v/>
      </c>
    </row>
    <row r="96">
      <c r="A96" s="8" t="inlineStr">
        <is>
          <t>Warlock|Archfey Patron</t>
        </is>
      </c>
      <c r="B96" s="8" t="inlineStr">
        <is>
          <t>Warlock</t>
        </is>
      </c>
      <c r="C96" s="8" t="inlineStr">
        <is>
          <t>Archfey Patron</t>
        </is>
      </c>
      <c r="D96" s="8" t="inlineStr">
        <is>
          <t>Spell 4</t>
        </is>
      </c>
      <c r="E96" s="9" t="n">
        <v>2</v>
      </c>
      <c r="F96" s="8">
        <f>VLOOKUP("Level "&amp;E96,Model!$A$24:$B$32,2,FALSE)</f>
        <v/>
      </c>
      <c r="G96" s="8">
        <f>MAX(Model!$B$20,F96-Model!$B$19)</f>
        <v/>
      </c>
      <c r="H96" s="8">
        <f>F96-G96</f>
        <v/>
      </c>
    </row>
    <row r="97">
      <c r="A97" s="8" t="inlineStr">
        <is>
          <t>Warlock|Archfey Patron</t>
        </is>
      </c>
      <c r="B97" s="8" t="inlineStr">
        <is>
          <t>Warlock</t>
        </is>
      </c>
      <c r="C97" s="8" t="inlineStr">
        <is>
          <t>Archfey Patron</t>
        </is>
      </c>
      <c r="D97" s="8" t="inlineStr">
        <is>
          <t>Spell 5</t>
        </is>
      </c>
      <c r="E97" s="9" t="n">
        <v>3</v>
      </c>
      <c r="F97" s="8">
        <f>VLOOKUP("Level "&amp;E97,Model!$A$24:$B$32,2,FALSE)</f>
        <v/>
      </c>
      <c r="G97" s="8">
        <f>MAX(Model!$B$20,F97-Model!$B$19)</f>
        <v/>
      </c>
      <c r="H97" s="8">
        <f>F97-G97</f>
        <v/>
      </c>
    </row>
    <row r="98">
      <c r="A98" s="8" t="inlineStr">
        <is>
          <t>Warlock|Archfey Patron</t>
        </is>
      </c>
      <c r="B98" s="8" t="inlineStr">
        <is>
          <t>Warlock</t>
        </is>
      </c>
      <c r="C98" s="8" t="inlineStr">
        <is>
          <t>Archfey Patron</t>
        </is>
      </c>
      <c r="D98" s="8" t="inlineStr">
        <is>
          <t>Spell 6</t>
        </is>
      </c>
      <c r="E98" s="9" t="n">
        <v>3</v>
      </c>
      <c r="F98" s="8">
        <f>VLOOKUP("Level "&amp;E98,Model!$A$24:$B$32,2,FALSE)</f>
        <v/>
      </c>
      <c r="G98" s="8">
        <f>MAX(Model!$B$20,F98-Model!$B$19)</f>
        <v/>
      </c>
      <c r="H98" s="8">
        <f>F98-G98</f>
        <v/>
      </c>
    </row>
    <row r="99">
      <c r="A99" s="8" t="inlineStr">
        <is>
          <t>Warlock|Celestial Patron</t>
        </is>
      </c>
      <c r="B99" s="8" t="inlineStr">
        <is>
          <t>Warlock</t>
        </is>
      </c>
      <c r="C99" s="8" t="inlineStr">
        <is>
          <t>Celestial Patron</t>
        </is>
      </c>
      <c r="D99" s="8" t="inlineStr">
        <is>
          <t>Spell 1</t>
        </is>
      </c>
      <c r="E99" s="9" t="n">
        <v>1</v>
      </c>
      <c r="F99" s="8">
        <f>VLOOKUP("Level "&amp;E99,Model!$A$24:$B$32,2,FALSE)</f>
        <v/>
      </c>
      <c r="G99" s="8">
        <f>MAX(Model!$B$20,F99-Model!$B$19)</f>
        <v/>
      </c>
      <c r="H99" s="8">
        <f>F99-G99</f>
        <v/>
      </c>
    </row>
    <row r="100">
      <c r="A100" s="8" t="inlineStr">
        <is>
          <t>Warlock|Celestial Patron</t>
        </is>
      </c>
      <c r="B100" s="8" t="inlineStr">
        <is>
          <t>Warlock</t>
        </is>
      </c>
      <c r="C100" s="8" t="inlineStr">
        <is>
          <t>Celestial Patron</t>
        </is>
      </c>
      <c r="D100" s="8" t="inlineStr">
        <is>
          <t>Spell 2</t>
        </is>
      </c>
      <c r="E100" s="9" t="n">
        <v>1</v>
      </c>
      <c r="F100" s="8">
        <f>VLOOKUP("Level "&amp;E100,Model!$A$24:$B$32,2,FALSE)</f>
        <v/>
      </c>
      <c r="G100" s="8">
        <f>MAX(Model!$B$20,F100-Model!$B$19)</f>
        <v/>
      </c>
      <c r="H100" s="8">
        <f>F100-G100</f>
        <v/>
      </c>
    </row>
    <row r="101">
      <c r="A101" s="8" t="inlineStr">
        <is>
          <t>Warlock|Celestial Patron</t>
        </is>
      </c>
      <c r="B101" s="8" t="inlineStr">
        <is>
          <t>Warlock</t>
        </is>
      </c>
      <c r="C101" s="8" t="inlineStr">
        <is>
          <t>Celestial Patron</t>
        </is>
      </c>
      <c r="D101" s="8" t="inlineStr">
        <is>
          <t>Spell 3</t>
        </is>
      </c>
      <c r="E101" s="9" t="n">
        <v>2</v>
      </c>
      <c r="F101" s="8">
        <f>VLOOKUP("Level "&amp;E101,Model!$A$24:$B$32,2,FALSE)</f>
        <v/>
      </c>
      <c r="G101" s="8">
        <f>MAX(Model!$B$20,F101-Model!$B$19)</f>
        <v/>
      </c>
      <c r="H101" s="8">
        <f>F101-G101</f>
        <v/>
      </c>
    </row>
    <row r="102">
      <c r="A102" s="8" t="inlineStr">
        <is>
          <t>Warlock|Celestial Patron</t>
        </is>
      </c>
      <c r="B102" s="8" t="inlineStr">
        <is>
          <t>Warlock</t>
        </is>
      </c>
      <c r="C102" s="8" t="inlineStr">
        <is>
          <t>Celestial Patron</t>
        </is>
      </c>
      <c r="D102" s="8" t="inlineStr">
        <is>
          <t>Spell 4</t>
        </is>
      </c>
      <c r="E102" s="9" t="n">
        <v>2</v>
      </c>
      <c r="F102" s="8">
        <f>VLOOKUP("Level "&amp;E102,Model!$A$24:$B$32,2,FALSE)</f>
        <v/>
      </c>
      <c r="G102" s="8">
        <f>MAX(Model!$B$20,F102-Model!$B$19)</f>
        <v/>
      </c>
      <c r="H102" s="8">
        <f>F102-G102</f>
        <v/>
      </c>
    </row>
    <row r="103">
      <c r="A103" s="8" t="inlineStr">
        <is>
          <t>Warlock|Celestial Patron</t>
        </is>
      </c>
      <c r="B103" s="8" t="inlineStr">
        <is>
          <t>Warlock</t>
        </is>
      </c>
      <c r="C103" s="8" t="inlineStr">
        <is>
          <t>Celestial Patron</t>
        </is>
      </c>
      <c r="D103" s="8" t="inlineStr">
        <is>
          <t>Spell 5</t>
        </is>
      </c>
      <c r="E103" s="9" t="n">
        <v>3</v>
      </c>
      <c r="F103" s="8">
        <f>VLOOKUP("Level "&amp;E103,Model!$A$24:$B$32,2,FALSE)</f>
        <v/>
      </c>
      <c r="G103" s="8">
        <f>MAX(Model!$B$20,F103-Model!$B$19)</f>
        <v/>
      </c>
      <c r="H103" s="8">
        <f>F103-G103</f>
        <v/>
      </c>
    </row>
    <row r="104">
      <c r="A104" s="8" t="inlineStr">
        <is>
          <t>Warlock|Celestial Patron</t>
        </is>
      </c>
      <c r="B104" s="8" t="inlineStr">
        <is>
          <t>Warlock</t>
        </is>
      </c>
      <c r="C104" s="8" t="inlineStr">
        <is>
          <t>Celestial Patron</t>
        </is>
      </c>
      <c r="D104" s="8" t="inlineStr">
        <is>
          <t>Spell 6</t>
        </is>
      </c>
      <c r="E104" s="9" t="n">
        <v>3</v>
      </c>
      <c r="F104" s="8">
        <f>VLOOKUP("Level "&amp;E104,Model!$A$24:$B$32,2,FALSE)</f>
        <v/>
      </c>
      <c r="G104" s="8">
        <f>MAX(Model!$B$20,F104-Model!$B$19)</f>
        <v/>
      </c>
      <c r="H104" s="8">
        <f>F104-G104</f>
        <v/>
      </c>
    </row>
    <row r="105">
      <c r="A105" s="8" t="inlineStr">
        <is>
          <t>Warlock|Celestial Patron</t>
        </is>
      </c>
      <c r="B105" s="8" t="inlineStr">
        <is>
          <t>Warlock</t>
        </is>
      </c>
      <c r="C105" s="8" t="inlineStr">
        <is>
          <t>Celestial Patron</t>
        </is>
      </c>
      <c r="D105" s="8" t="inlineStr">
        <is>
          <t>Cantrip 1</t>
        </is>
      </c>
      <c r="E105" s="9" t="n">
        <v>0</v>
      </c>
      <c r="F105" s="8">
        <f>Model!$B$21</f>
        <v/>
      </c>
      <c r="G105" s="8">
        <f>Model!$B$21</f>
        <v/>
      </c>
      <c r="H105" s="8">
        <f>F105-G105</f>
        <v/>
      </c>
    </row>
    <row r="106">
      <c r="A106" s="8" t="inlineStr">
        <is>
          <t>Warlock|Celestial Patron</t>
        </is>
      </c>
      <c r="B106" s="8" t="inlineStr">
        <is>
          <t>Warlock</t>
        </is>
      </c>
      <c r="C106" s="8" t="inlineStr">
        <is>
          <t>Celestial Patron</t>
        </is>
      </c>
      <c r="D106" s="8" t="inlineStr">
        <is>
          <t>Cantrip 2</t>
        </is>
      </c>
      <c r="E106" s="9" t="n">
        <v>0</v>
      </c>
      <c r="F106" s="8">
        <f>Model!$B$21</f>
        <v/>
      </c>
      <c r="G106" s="8">
        <f>Model!$B$21</f>
        <v/>
      </c>
      <c r="H106" s="8">
        <f>F106-G106</f>
        <v/>
      </c>
    </row>
    <row r="107">
      <c r="A107" s="8" t="inlineStr">
        <is>
          <t>Warlock|Fiend Patron</t>
        </is>
      </c>
      <c r="B107" s="8" t="inlineStr">
        <is>
          <t>Warlock</t>
        </is>
      </c>
      <c r="C107" s="8" t="inlineStr">
        <is>
          <t>Fiend Patron</t>
        </is>
      </c>
      <c r="D107" s="8" t="inlineStr">
        <is>
          <t>Spell 1</t>
        </is>
      </c>
      <c r="E107" s="9" t="n">
        <v>1</v>
      </c>
      <c r="F107" s="8">
        <f>VLOOKUP("Level "&amp;E107,Model!$A$24:$B$32,2,FALSE)</f>
        <v/>
      </c>
      <c r="G107" s="8">
        <f>MAX(Model!$B$20,F107-Model!$B$19)</f>
        <v/>
      </c>
      <c r="H107" s="8">
        <f>F107-G107</f>
        <v/>
      </c>
    </row>
    <row r="108">
      <c r="A108" s="8" t="inlineStr">
        <is>
          <t>Warlock|Fiend Patron</t>
        </is>
      </c>
      <c r="B108" s="8" t="inlineStr">
        <is>
          <t>Warlock</t>
        </is>
      </c>
      <c r="C108" s="8" t="inlineStr">
        <is>
          <t>Fiend Patron</t>
        </is>
      </c>
      <c r="D108" s="8" t="inlineStr">
        <is>
          <t>Spell 2</t>
        </is>
      </c>
      <c r="E108" s="9" t="n">
        <v>1</v>
      </c>
      <c r="F108" s="8">
        <f>VLOOKUP("Level "&amp;E108,Model!$A$24:$B$32,2,FALSE)</f>
        <v/>
      </c>
      <c r="G108" s="8">
        <f>MAX(Model!$B$20,F108-Model!$B$19)</f>
        <v/>
      </c>
      <c r="H108" s="8">
        <f>F108-G108</f>
        <v/>
      </c>
    </row>
    <row r="109">
      <c r="A109" s="8" t="inlineStr">
        <is>
          <t>Warlock|Fiend Patron</t>
        </is>
      </c>
      <c r="B109" s="8" t="inlineStr">
        <is>
          <t>Warlock</t>
        </is>
      </c>
      <c r="C109" s="8" t="inlineStr">
        <is>
          <t>Fiend Patron</t>
        </is>
      </c>
      <c r="D109" s="8" t="inlineStr">
        <is>
          <t>Spell 3</t>
        </is>
      </c>
      <c r="E109" s="9" t="n">
        <v>2</v>
      </c>
      <c r="F109" s="8">
        <f>VLOOKUP("Level "&amp;E109,Model!$A$24:$B$32,2,FALSE)</f>
        <v/>
      </c>
      <c r="G109" s="8">
        <f>MAX(Model!$B$20,F109-Model!$B$19)</f>
        <v/>
      </c>
      <c r="H109" s="8">
        <f>F109-G109</f>
        <v/>
      </c>
    </row>
    <row r="110">
      <c r="A110" s="8" t="inlineStr">
        <is>
          <t>Warlock|Fiend Patron</t>
        </is>
      </c>
      <c r="B110" s="8" t="inlineStr">
        <is>
          <t>Warlock</t>
        </is>
      </c>
      <c r="C110" s="8" t="inlineStr">
        <is>
          <t>Fiend Patron</t>
        </is>
      </c>
      <c r="D110" s="8" t="inlineStr">
        <is>
          <t>Spell 4</t>
        </is>
      </c>
      <c r="E110" s="9" t="n">
        <v>2</v>
      </c>
      <c r="F110" s="8">
        <f>VLOOKUP("Level "&amp;E110,Model!$A$24:$B$32,2,FALSE)</f>
        <v/>
      </c>
      <c r="G110" s="8">
        <f>MAX(Model!$B$20,F110-Model!$B$19)</f>
        <v/>
      </c>
      <c r="H110" s="8">
        <f>F110-G110</f>
        <v/>
      </c>
    </row>
    <row r="111">
      <c r="A111" s="8" t="inlineStr">
        <is>
          <t>Warlock|Fiend Patron</t>
        </is>
      </c>
      <c r="B111" s="8" t="inlineStr">
        <is>
          <t>Warlock</t>
        </is>
      </c>
      <c r="C111" s="8" t="inlineStr">
        <is>
          <t>Fiend Patron</t>
        </is>
      </c>
      <c r="D111" s="8" t="inlineStr">
        <is>
          <t>Spell 5</t>
        </is>
      </c>
      <c r="E111" s="9" t="n">
        <v>3</v>
      </c>
      <c r="F111" s="8">
        <f>VLOOKUP("Level "&amp;E111,Model!$A$24:$B$32,2,FALSE)</f>
        <v/>
      </c>
      <c r="G111" s="8">
        <f>MAX(Model!$B$20,F111-Model!$B$19)</f>
        <v/>
      </c>
      <c r="H111" s="8">
        <f>F111-G111</f>
        <v/>
      </c>
    </row>
    <row r="112">
      <c r="A112" s="8" t="inlineStr">
        <is>
          <t>Warlock|Fiend Patron</t>
        </is>
      </c>
      <c r="B112" s="8" t="inlineStr">
        <is>
          <t>Warlock</t>
        </is>
      </c>
      <c r="C112" s="8" t="inlineStr">
        <is>
          <t>Fiend Patron</t>
        </is>
      </c>
      <c r="D112" s="8" t="inlineStr">
        <is>
          <t>Spell 6</t>
        </is>
      </c>
      <c r="E112" s="9" t="n">
        <v>3</v>
      </c>
      <c r="F112" s="8">
        <f>VLOOKUP("Level "&amp;E112,Model!$A$24:$B$32,2,FALSE)</f>
        <v/>
      </c>
      <c r="G112" s="8">
        <f>MAX(Model!$B$20,F112-Model!$B$19)</f>
        <v/>
      </c>
      <c r="H112" s="8">
        <f>F112-G112</f>
        <v/>
      </c>
    </row>
    <row r="113">
      <c r="A113" s="8" t="inlineStr">
        <is>
          <t>Warlock|Great Old One Patron</t>
        </is>
      </c>
      <c r="B113" s="8" t="inlineStr">
        <is>
          <t>Warlock</t>
        </is>
      </c>
      <c r="C113" s="8" t="inlineStr">
        <is>
          <t>Great Old One Patron</t>
        </is>
      </c>
      <c r="D113" s="8" t="inlineStr">
        <is>
          <t>Spell 1</t>
        </is>
      </c>
      <c r="E113" s="9" t="n">
        <v>1</v>
      </c>
      <c r="F113" s="8">
        <f>VLOOKUP("Level "&amp;E113,Model!$A$24:$B$32,2,FALSE)</f>
        <v/>
      </c>
      <c r="G113" s="8">
        <f>MAX(Model!$B$20,F113-Model!$B$19)</f>
        <v/>
      </c>
      <c r="H113" s="8">
        <f>F113-G113</f>
        <v/>
      </c>
    </row>
    <row r="114">
      <c r="A114" s="8" t="inlineStr">
        <is>
          <t>Warlock|Great Old One Patron</t>
        </is>
      </c>
      <c r="B114" s="8" t="inlineStr">
        <is>
          <t>Warlock</t>
        </is>
      </c>
      <c r="C114" s="8" t="inlineStr">
        <is>
          <t>Great Old One Patron</t>
        </is>
      </c>
      <c r="D114" s="8" t="inlineStr">
        <is>
          <t>Spell 2</t>
        </is>
      </c>
      <c r="E114" s="9" t="n">
        <v>1</v>
      </c>
      <c r="F114" s="8">
        <f>VLOOKUP("Level "&amp;E114,Model!$A$24:$B$32,2,FALSE)</f>
        <v/>
      </c>
      <c r="G114" s="8">
        <f>MAX(Model!$B$20,F114-Model!$B$19)</f>
        <v/>
      </c>
      <c r="H114" s="8">
        <f>F114-G114</f>
        <v/>
      </c>
    </row>
    <row r="115">
      <c r="A115" s="8" t="inlineStr">
        <is>
          <t>Warlock|Great Old One Patron</t>
        </is>
      </c>
      <c r="B115" s="8" t="inlineStr">
        <is>
          <t>Warlock</t>
        </is>
      </c>
      <c r="C115" s="8" t="inlineStr">
        <is>
          <t>Great Old One Patron</t>
        </is>
      </c>
      <c r="D115" s="8" t="inlineStr">
        <is>
          <t>Spell 3</t>
        </is>
      </c>
      <c r="E115" s="9" t="n">
        <v>2</v>
      </c>
      <c r="F115" s="8">
        <f>VLOOKUP("Level "&amp;E115,Model!$A$24:$B$32,2,FALSE)</f>
        <v/>
      </c>
      <c r="G115" s="8">
        <f>MAX(Model!$B$20,F115-Model!$B$19)</f>
        <v/>
      </c>
      <c r="H115" s="8">
        <f>F115-G115</f>
        <v/>
      </c>
    </row>
    <row r="116">
      <c r="A116" s="8" t="inlineStr">
        <is>
          <t>Warlock|Great Old One Patron</t>
        </is>
      </c>
      <c r="B116" s="8" t="inlineStr">
        <is>
          <t>Warlock</t>
        </is>
      </c>
      <c r="C116" s="8" t="inlineStr">
        <is>
          <t>Great Old One Patron</t>
        </is>
      </c>
      <c r="D116" s="8" t="inlineStr">
        <is>
          <t>Spell 4</t>
        </is>
      </c>
      <c r="E116" s="9" t="n">
        <v>2</v>
      </c>
      <c r="F116" s="8">
        <f>VLOOKUP("Level "&amp;E116,Model!$A$24:$B$32,2,FALSE)</f>
        <v/>
      </c>
      <c r="G116" s="8">
        <f>MAX(Model!$B$20,F116-Model!$B$19)</f>
        <v/>
      </c>
      <c r="H116" s="8">
        <f>F116-G116</f>
        <v/>
      </c>
    </row>
    <row r="117">
      <c r="A117" s="8" t="inlineStr">
        <is>
          <t>Warlock|Great Old One Patron</t>
        </is>
      </c>
      <c r="B117" s="8" t="inlineStr">
        <is>
          <t>Warlock</t>
        </is>
      </c>
      <c r="C117" s="8" t="inlineStr">
        <is>
          <t>Great Old One Patron</t>
        </is>
      </c>
      <c r="D117" s="8" t="inlineStr">
        <is>
          <t>Spell 5</t>
        </is>
      </c>
      <c r="E117" s="9" t="n">
        <v>3</v>
      </c>
      <c r="F117" s="8">
        <f>VLOOKUP("Level "&amp;E117,Model!$A$24:$B$32,2,FALSE)</f>
        <v/>
      </c>
      <c r="G117" s="8">
        <f>MAX(Model!$B$20,F117-Model!$B$19)</f>
        <v/>
      </c>
      <c r="H117" s="8">
        <f>F117-G117</f>
        <v/>
      </c>
    </row>
    <row r="118">
      <c r="A118" s="8" t="inlineStr">
        <is>
          <t>Warlock|Great Old One Patron</t>
        </is>
      </c>
      <c r="B118" s="8" t="inlineStr">
        <is>
          <t>Warlock</t>
        </is>
      </c>
      <c r="C118" s="8" t="inlineStr">
        <is>
          <t>Great Old One Patron</t>
        </is>
      </c>
      <c r="D118" s="8" t="inlineStr">
        <is>
          <t>Spell 6</t>
        </is>
      </c>
      <c r="E118" s="9" t="n">
        <v>3</v>
      </c>
      <c r="F118" s="8">
        <f>VLOOKUP("Level "&amp;E118,Model!$A$24:$B$32,2,FALSE)</f>
        <v/>
      </c>
      <c r="G118" s="8">
        <f>MAX(Model!$B$20,F118-Model!$B$19)</f>
        <v/>
      </c>
      <c r="H118" s="8">
        <f>F118-G118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40" customWidth="1" min="3" max="3"/>
    <col width="8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8" customWidth="1" min="10" max="10"/>
    <col width="8" customWidth="1" min="11" max="11"/>
    <col width="11" customWidth="1" min="12" max="12"/>
    <col width="11" customWidth="1" min="13" max="13"/>
    <col width="34" customWidth="1" min="14" max="14"/>
    <col width="22" customWidth="1" min="15" max="15"/>
  </cols>
  <sheetData>
    <row r="1">
      <c r="A1" s="7" t="inlineStr">
        <is>
          <t>Class</t>
        </is>
      </c>
      <c r="B1" s="7" t="inlineStr">
        <is>
          <t>Subclass</t>
        </is>
      </c>
      <c r="C1" s="7" t="inlineStr">
        <is>
          <t>Grant shape assumed</t>
        </is>
      </c>
      <c r="D1" s="7" t="inlineStr">
        <is>
          <t>Spells</t>
        </is>
      </c>
      <c r="E1" s="7" t="inlineStr">
        <is>
          <t>Cantrips</t>
        </is>
      </c>
      <c r="F1" s="7" t="inlineStr">
        <is>
          <t>Cross AP
derived</t>
        </is>
      </c>
      <c r="G1" s="7" t="inlineStr">
        <is>
          <t>Origin AP
derived</t>
        </is>
      </c>
      <c r="H1" s="7" t="inlineStr">
        <is>
          <t>Cross AP
ENGINE</t>
        </is>
      </c>
      <c r="I1" s="7" t="inlineStr">
        <is>
          <t>Origin AP
ENGINE</t>
        </is>
      </c>
      <c r="J1" s="7" t="inlineStr">
        <is>
          <t>Cross
diff</t>
        </is>
      </c>
      <c r="K1" s="7" t="inlineStr">
        <is>
          <t>Origin
diff</t>
        </is>
      </c>
      <c r="L1" s="7" t="inlineStr">
        <is>
          <t>Origin gap
derived</t>
        </is>
      </c>
      <c r="M1" s="7" t="inlineStr">
        <is>
          <t>Origin gap
ENGINE</t>
        </is>
      </c>
      <c r="N1" s="7" t="inlineStr">
        <is>
          <t>Is the discount applied twice?</t>
        </is>
      </c>
      <c r="O1" s="7" t="inlineStr">
        <is>
          <t>Derivation
reproduces engine?</t>
        </is>
      </c>
    </row>
    <row r="2">
      <c r="A2" s="8" t="inlineStr">
        <is>
          <t>Cleric</t>
        </is>
      </c>
      <c r="B2" s="8" t="inlineStr">
        <is>
          <t>Life Domain</t>
        </is>
      </c>
      <c r="C2" s="9" t="inlineStr">
        <is>
          <t>Full caster - 2 spells each at 1st/2nd/3rd</t>
        </is>
      </c>
      <c r="D2" s="9" t="n">
        <v>6</v>
      </c>
      <c r="E2" s="10" t="n">
        <v>0</v>
      </c>
      <c r="F2" s="8">
        <f>SUMIFS('Per-spell working'!$F$2:$F$118,'Per-spell working'!$A$2:$A$118,"Cleric|Life Domain")</f>
        <v/>
      </c>
      <c r="G2" s="8">
        <f>SUMIFS('Per-spell working'!$G$2:$G$118,'Per-spell working'!$A$2:$A$118,"Cleric|Life Domain")</f>
        <v/>
      </c>
      <c r="H2" s="10" t="n">
        <v>8</v>
      </c>
      <c r="I2" s="10" t="n">
        <v>6</v>
      </c>
      <c r="J2" s="8">
        <f>H2-F2</f>
        <v/>
      </c>
      <c r="K2" s="8">
        <f>I2-G2</f>
        <v/>
      </c>
      <c r="L2" s="8">
        <f>F2-G2</f>
        <v/>
      </c>
      <c r="M2" s="8">
        <f>H2-I2</f>
        <v/>
      </c>
      <c r="N2" s="8">
        <f>IF(M2&gt;L2,"YES - engine gap exceeds model",IF(M2=L2,"no - applied exactly once","no - applied LESS than once"))</f>
        <v/>
      </c>
      <c r="O2" s="8">
        <f>IF(AND(J2=0,K2=0),"yes","NO - hand-set")</f>
        <v/>
      </c>
    </row>
    <row r="3">
      <c r="A3" s="8" t="inlineStr">
        <is>
          <t>Cleric</t>
        </is>
      </c>
      <c r="B3" s="8" t="inlineStr">
        <is>
          <t>Light Domain</t>
        </is>
      </c>
      <c r="C3" s="9" t="inlineStr">
        <is>
          <t>Full caster - 2 spells each at 1st/2nd/3rd</t>
        </is>
      </c>
      <c r="D3" s="9" t="n">
        <v>6</v>
      </c>
      <c r="E3" s="10" t="n">
        <v>0</v>
      </c>
      <c r="F3" s="8">
        <f>SUMIFS('Per-spell working'!$F$2:$F$118,'Per-spell working'!$A$2:$A$118,"Cleric|Light Domain")</f>
        <v/>
      </c>
      <c r="G3" s="8">
        <f>SUMIFS('Per-spell working'!$G$2:$G$118,'Per-spell working'!$A$2:$A$118,"Cleric|Light Domain")</f>
        <v/>
      </c>
      <c r="H3" s="10" t="n">
        <v>8</v>
      </c>
      <c r="I3" s="10" t="n">
        <v>6</v>
      </c>
      <c r="J3" s="8">
        <f>H3-F3</f>
        <v/>
      </c>
      <c r="K3" s="8">
        <f>I3-G3</f>
        <v/>
      </c>
      <c r="L3" s="8">
        <f>F3-G3</f>
        <v/>
      </c>
      <c r="M3" s="8">
        <f>H3-I3</f>
        <v/>
      </c>
      <c r="N3" s="8">
        <f>IF(M3&gt;L3,"YES - engine gap exceeds model",IF(M3=L3,"no - applied exactly once","no - applied LESS than once"))</f>
        <v/>
      </c>
      <c r="O3" s="8">
        <f>IF(AND(J3=0,K3=0),"yes","NO - hand-set")</f>
        <v/>
      </c>
    </row>
    <row r="4">
      <c r="A4" s="8" t="inlineStr">
        <is>
          <t>Cleric</t>
        </is>
      </c>
      <c r="B4" s="8" t="inlineStr">
        <is>
          <t>Trickery Domain</t>
        </is>
      </c>
      <c r="C4" s="9" t="inlineStr">
        <is>
          <t>Full caster - 2 spells each at 1st/2nd/3rd</t>
        </is>
      </c>
      <c r="D4" s="9" t="n">
        <v>6</v>
      </c>
      <c r="E4" s="10" t="n">
        <v>0</v>
      </c>
      <c r="F4" s="8">
        <f>SUMIFS('Per-spell working'!$F$2:$F$118,'Per-spell working'!$A$2:$A$118,"Cleric|Trickery Domain")</f>
        <v/>
      </c>
      <c r="G4" s="8">
        <f>SUMIFS('Per-spell working'!$G$2:$G$118,'Per-spell working'!$A$2:$A$118,"Cleric|Trickery Domain")</f>
        <v/>
      </c>
      <c r="H4" s="10" t="n">
        <v>8</v>
      </c>
      <c r="I4" s="10" t="n">
        <v>6</v>
      </c>
      <c r="J4" s="8">
        <f>H4-F4</f>
        <v/>
      </c>
      <c r="K4" s="8">
        <f>I4-G4</f>
        <v/>
      </c>
      <c r="L4" s="8">
        <f>F4-G4</f>
        <v/>
      </c>
      <c r="M4" s="8">
        <f>H4-I4</f>
        <v/>
      </c>
      <c r="N4" s="8">
        <f>IF(M4&gt;L4,"YES - engine gap exceeds model",IF(M4=L4,"no - applied exactly once","no - applied LESS than once"))</f>
        <v/>
      </c>
      <c r="O4" s="8">
        <f>IF(AND(J4=0,K4=0),"yes","NO - hand-set")</f>
        <v/>
      </c>
    </row>
    <row r="5">
      <c r="A5" s="8" t="inlineStr">
        <is>
          <t>Cleric</t>
        </is>
      </c>
      <c r="B5" s="8" t="inlineStr">
        <is>
          <t>War Domain</t>
        </is>
      </c>
      <c r="C5" s="9" t="inlineStr">
        <is>
          <t>Full caster - 2 spells each at 1st/2nd/3rd</t>
        </is>
      </c>
      <c r="D5" s="9" t="n">
        <v>6</v>
      </c>
      <c r="E5" s="10" t="n">
        <v>0</v>
      </c>
      <c r="F5" s="8">
        <f>SUMIFS('Per-spell working'!$F$2:$F$118,'Per-spell working'!$A$2:$A$118,"Cleric|War Domain")</f>
        <v/>
      </c>
      <c r="G5" s="8">
        <f>SUMIFS('Per-spell working'!$G$2:$G$118,'Per-spell working'!$A$2:$A$118,"Cleric|War Domain")</f>
        <v/>
      </c>
      <c r="H5" s="10" t="n">
        <v>8</v>
      </c>
      <c r="I5" s="10" t="n">
        <v>6</v>
      </c>
      <c r="J5" s="8">
        <f>H5-F5</f>
        <v/>
      </c>
      <c r="K5" s="8">
        <f>I5-G5</f>
        <v/>
      </c>
      <c r="L5" s="8">
        <f>F5-G5</f>
        <v/>
      </c>
      <c r="M5" s="8">
        <f>H5-I5</f>
        <v/>
      </c>
      <c r="N5" s="8">
        <f>IF(M5&gt;L5,"YES - engine gap exceeds model",IF(M5=L5,"no - applied exactly once","no - applied LESS than once"))</f>
        <v/>
      </c>
      <c r="O5" s="8">
        <f>IF(AND(J5=0,K5=0),"yes","NO - hand-set")</f>
        <v/>
      </c>
    </row>
    <row r="6">
      <c r="A6" s="8" t="inlineStr">
        <is>
          <t>Druid</t>
        </is>
      </c>
      <c r="B6" s="8" t="inlineStr">
        <is>
          <t>Circle of the Land</t>
        </is>
      </c>
      <c r="C6" s="9" t="inlineStr">
        <is>
          <t>Full caster - 2 spells each at 1st/2nd/3rd</t>
        </is>
      </c>
      <c r="D6" s="9" t="n">
        <v>6</v>
      </c>
      <c r="E6" s="10" t="n">
        <v>1</v>
      </c>
      <c r="F6" s="8">
        <f>SUMIFS('Per-spell working'!$F$2:$F$118,'Per-spell working'!$A$2:$A$118,"Druid|Circle of the Land")</f>
        <v/>
      </c>
      <c r="G6" s="8">
        <f>SUMIFS('Per-spell working'!$G$2:$G$118,'Per-spell working'!$A$2:$A$118,"Druid|Circle of the Land")</f>
        <v/>
      </c>
      <c r="H6" s="10" t="n">
        <v>8</v>
      </c>
      <c r="I6" s="10" t="n">
        <v>7</v>
      </c>
      <c r="J6" s="8">
        <f>H6-F6</f>
        <v/>
      </c>
      <c r="K6" s="8">
        <f>I6-G6</f>
        <v/>
      </c>
      <c r="L6" s="8">
        <f>F6-G6</f>
        <v/>
      </c>
      <c r="M6" s="8">
        <f>H6-I6</f>
        <v/>
      </c>
      <c r="N6" s="8">
        <f>IF(M6&gt;L6,"YES - engine gap exceeds model",IF(M6=L6,"no - applied exactly once","no - applied LESS than once"))</f>
        <v/>
      </c>
      <c r="O6" s="8">
        <f>IF(AND(J6=0,K6=0),"yes","NO - hand-set")</f>
        <v/>
      </c>
    </row>
    <row r="7">
      <c r="A7" s="8" t="inlineStr">
        <is>
          <t>Druid</t>
        </is>
      </c>
      <c r="B7" s="8" t="inlineStr">
        <is>
          <t>Circle of the Moon</t>
        </is>
      </c>
      <c r="C7" s="9" t="inlineStr">
        <is>
          <t>Full caster - 2 spells each at 1st/2nd/3rd</t>
        </is>
      </c>
      <c r="D7" s="9" t="n">
        <v>6</v>
      </c>
      <c r="E7" s="10" t="n">
        <v>1</v>
      </c>
      <c r="F7" s="8">
        <f>SUMIFS('Per-spell working'!$F$2:$F$118,'Per-spell working'!$A$2:$A$118,"Druid|Circle of the Moon")</f>
        <v/>
      </c>
      <c r="G7" s="8">
        <f>SUMIFS('Per-spell working'!$G$2:$G$118,'Per-spell working'!$A$2:$A$118,"Druid|Circle of the Moon")</f>
        <v/>
      </c>
      <c r="H7" s="10" t="n">
        <v>8</v>
      </c>
      <c r="I7" s="10" t="n">
        <v>7</v>
      </c>
      <c r="J7" s="8">
        <f>H7-F7</f>
        <v/>
      </c>
      <c r="K7" s="8">
        <f>I7-G7</f>
        <v/>
      </c>
      <c r="L7" s="8">
        <f>F7-G7</f>
        <v/>
      </c>
      <c r="M7" s="8">
        <f>H7-I7</f>
        <v/>
      </c>
      <c r="N7" s="8">
        <f>IF(M7&gt;L7,"YES - engine gap exceeds model",IF(M7=L7,"no - applied exactly once","no - applied LESS than once"))</f>
        <v/>
      </c>
      <c r="O7" s="8">
        <f>IF(AND(J7=0,K7=0),"yes","NO - hand-set")</f>
        <v/>
      </c>
    </row>
    <row r="8">
      <c r="A8" s="8" t="inlineStr">
        <is>
          <t>Druid</t>
        </is>
      </c>
      <c r="B8" s="8" t="inlineStr">
        <is>
          <t>Circle of the Sea</t>
        </is>
      </c>
      <c r="C8" s="9" t="inlineStr">
        <is>
          <t>Full caster - 2 spells each at 1st/2nd/3rd</t>
        </is>
      </c>
      <c r="D8" s="9" t="n">
        <v>6</v>
      </c>
      <c r="E8" s="10" t="n">
        <v>1</v>
      </c>
      <c r="F8" s="8">
        <f>SUMIFS('Per-spell working'!$F$2:$F$118,'Per-spell working'!$A$2:$A$118,"Druid|Circle of the Sea")</f>
        <v/>
      </c>
      <c r="G8" s="8">
        <f>SUMIFS('Per-spell working'!$G$2:$G$118,'Per-spell working'!$A$2:$A$118,"Druid|Circle of the Sea")</f>
        <v/>
      </c>
      <c r="H8" s="10" t="n">
        <v>11</v>
      </c>
      <c r="I8" s="10" t="n">
        <v>9</v>
      </c>
      <c r="J8" s="8">
        <f>H8-F8</f>
        <v/>
      </c>
      <c r="K8" s="8">
        <f>I8-G8</f>
        <v/>
      </c>
      <c r="L8" s="8">
        <f>F8-G8</f>
        <v/>
      </c>
      <c r="M8" s="8">
        <f>H8-I8</f>
        <v/>
      </c>
      <c r="N8" s="8">
        <f>IF(M8&gt;L8,"YES - engine gap exceeds model",IF(M8=L8,"no - applied exactly once","no - applied LESS than once"))</f>
        <v/>
      </c>
      <c r="O8" s="8">
        <f>IF(AND(J8=0,K8=0),"yes","NO - hand-set")</f>
        <v/>
      </c>
    </row>
    <row r="9">
      <c r="A9" s="8" t="inlineStr">
        <is>
          <t>Druid</t>
        </is>
      </c>
      <c r="B9" s="8" t="inlineStr">
        <is>
          <t>Circle of the Stars</t>
        </is>
      </c>
      <c r="C9" s="9" t="inlineStr">
        <is>
          <t>Full caster - 2 spells each at 1st/2nd/3rd</t>
        </is>
      </c>
      <c r="D9" s="9" t="n">
        <v>6</v>
      </c>
      <c r="E9" s="10" t="n">
        <v>1</v>
      </c>
      <c r="F9" s="8">
        <f>SUMIFS('Per-spell working'!$F$2:$F$118,'Per-spell working'!$A$2:$A$118,"Druid|Circle of the Stars")</f>
        <v/>
      </c>
      <c r="G9" s="8">
        <f>SUMIFS('Per-spell working'!$G$2:$G$118,'Per-spell working'!$A$2:$A$118,"Druid|Circle of the Stars")</f>
        <v/>
      </c>
      <c r="H9" s="10" t="n">
        <v>5</v>
      </c>
      <c r="I9" s="10" t="n">
        <v>5</v>
      </c>
      <c r="J9" s="8">
        <f>H9-F9</f>
        <v/>
      </c>
      <c r="K9" s="8">
        <f>I9-G9</f>
        <v/>
      </c>
      <c r="L9" s="8">
        <f>F9-G9</f>
        <v/>
      </c>
      <c r="M9" s="8">
        <f>H9-I9</f>
        <v/>
      </c>
      <c r="N9" s="8">
        <f>IF(M9&gt;L9,"YES - engine gap exceeds model",IF(M9=L9,"no - applied exactly once","no - applied LESS than once"))</f>
        <v/>
      </c>
      <c r="O9" s="8">
        <f>IF(AND(J9=0,K9=0),"yes","NO - hand-set")</f>
        <v/>
      </c>
    </row>
    <row r="10">
      <c r="A10" s="8" t="inlineStr">
        <is>
          <t>Paladin</t>
        </is>
      </c>
      <c r="B10" s="8" t="inlineStr">
        <is>
          <t>Oath of Devotion</t>
        </is>
      </c>
      <c r="C10" s="9" t="inlineStr">
        <is>
          <t>Half caster - 2 spells each at 1st/2nd</t>
        </is>
      </c>
      <c r="D10" s="9" t="n">
        <v>4</v>
      </c>
      <c r="E10" s="10" t="n">
        <v>0</v>
      </c>
      <c r="F10" s="8">
        <f>SUMIFS('Per-spell working'!$F$2:$F$118,'Per-spell working'!$A$2:$A$118,"Paladin|Oath of Devotion")</f>
        <v/>
      </c>
      <c r="G10" s="8">
        <f>SUMIFS('Per-spell working'!$G$2:$G$118,'Per-spell working'!$A$2:$A$118,"Paladin|Oath of Devotion")</f>
        <v/>
      </c>
      <c r="H10" s="10" t="n">
        <v>4</v>
      </c>
      <c r="I10" s="10" t="n">
        <v>4</v>
      </c>
      <c r="J10" s="8">
        <f>H10-F10</f>
        <v/>
      </c>
      <c r="K10" s="8">
        <f>I10-G10</f>
        <v/>
      </c>
      <c r="L10" s="8">
        <f>F10-G10</f>
        <v/>
      </c>
      <c r="M10" s="8">
        <f>H10-I10</f>
        <v/>
      </c>
      <c r="N10" s="8">
        <f>IF(M10&gt;L10,"YES - engine gap exceeds model",IF(M10=L10,"no - applied exactly once","no - applied LESS than once"))</f>
        <v/>
      </c>
      <c r="O10" s="8">
        <f>IF(AND(J10=0,K10=0),"yes","NO - hand-set")</f>
        <v/>
      </c>
    </row>
    <row r="11">
      <c r="A11" s="8" t="inlineStr">
        <is>
          <t>Paladin</t>
        </is>
      </c>
      <c r="B11" s="8" t="inlineStr">
        <is>
          <t>Oath of Glory</t>
        </is>
      </c>
      <c r="C11" s="9" t="inlineStr">
        <is>
          <t>Half caster - 2 spells each at 1st/2nd</t>
        </is>
      </c>
      <c r="D11" s="9" t="n">
        <v>4</v>
      </c>
      <c r="E11" s="10" t="n">
        <v>0</v>
      </c>
      <c r="F11" s="8">
        <f>SUMIFS('Per-spell working'!$F$2:$F$118,'Per-spell working'!$A$2:$A$118,"Paladin|Oath of Glory")</f>
        <v/>
      </c>
      <c r="G11" s="8">
        <f>SUMIFS('Per-spell working'!$G$2:$G$118,'Per-spell working'!$A$2:$A$118,"Paladin|Oath of Glory")</f>
        <v/>
      </c>
      <c r="H11" s="10" t="n">
        <v>4</v>
      </c>
      <c r="I11" s="10" t="n">
        <v>4</v>
      </c>
      <c r="J11" s="8">
        <f>H11-F11</f>
        <v/>
      </c>
      <c r="K11" s="8">
        <f>I11-G11</f>
        <v/>
      </c>
      <c r="L11" s="8">
        <f>F11-G11</f>
        <v/>
      </c>
      <c r="M11" s="8">
        <f>H11-I11</f>
        <v/>
      </c>
      <c r="N11" s="8">
        <f>IF(M11&gt;L11,"YES - engine gap exceeds model",IF(M11=L11,"no - applied exactly once","no - applied LESS than once"))</f>
        <v/>
      </c>
      <c r="O11" s="8">
        <f>IF(AND(J11=0,K11=0),"yes","NO - hand-set")</f>
        <v/>
      </c>
    </row>
    <row r="12">
      <c r="A12" s="8" t="inlineStr">
        <is>
          <t>Paladin</t>
        </is>
      </c>
      <c r="B12" s="8" t="inlineStr">
        <is>
          <t>Oath of the Ancients</t>
        </is>
      </c>
      <c r="C12" s="9" t="inlineStr">
        <is>
          <t>Half caster - 2 spells each at 1st/2nd</t>
        </is>
      </c>
      <c r="D12" s="9" t="n">
        <v>4</v>
      </c>
      <c r="E12" s="10" t="n">
        <v>0</v>
      </c>
      <c r="F12" s="8">
        <f>SUMIFS('Per-spell working'!$F$2:$F$118,'Per-spell working'!$A$2:$A$118,"Paladin|Oath of the Ancients")</f>
        <v/>
      </c>
      <c r="G12" s="8">
        <f>SUMIFS('Per-spell working'!$G$2:$G$118,'Per-spell working'!$A$2:$A$118,"Paladin|Oath of the Ancients")</f>
        <v/>
      </c>
      <c r="H12" s="10" t="n">
        <v>4</v>
      </c>
      <c r="I12" s="10" t="n">
        <v>4</v>
      </c>
      <c r="J12" s="8">
        <f>H12-F12</f>
        <v/>
      </c>
      <c r="K12" s="8">
        <f>I12-G12</f>
        <v/>
      </c>
      <c r="L12" s="8">
        <f>F12-G12</f>
        <v/>
      </c>
      <c r="M12" s="8">
        <f>H12-I12</f>
        <v/>
      </c>
      <c r="N12" s="8">
        <f>IF(M12&gt;L12,"YES - engine gap exceeds model",IF(M12=L12,"no - applied exactly once","no - applied LESS than once"))</f>
        <v/>
      </c>
      <c r="O12" s="8">
        <f>IF(AND(J12=0,K12=0),"yes","NO - hand-set")</f>
        <v/>
      </c>
    </row>
    <row r="13">
      <c r="A13" s="8" t="inlineStr">
        <is>
          <t>Paladin</t>
        </is>
      </c>
      <c r="B13" s="8" t="inlineStr">
        <is>
          <t>Oath of Vengeance</t>
        </is>
      </c>
      <c r="C13" s="9" t="inlineStr">
        <is>
          <t>Half caster - 2 spells each at 1st/2nd</t>
        </is>
      </c>
      <c r="D13" s="9" t="n">
        <v>4</v>
      </c>
      <c r="E13" s="10" t="n">
        <v>0</v>
      </c>
      <c r="F13" s="8">
        <f>SUMIFS('Per-spell working'!$F$2:$F$118,'Per-spell working'!$A$2:$A$118,"Paladin|Oath of Vengeance")</f>
        <v/>
      </c>
      <c r="G13" s="8">
        <f>SUMIFS('Per-spell working'!$G$2:$G$118,'Per-spell working'!$A$2:$A$118,"Paladin|Oath of Vengeance")</f>
        <v/>
      </c>
      <c r="H13" s="10" t="n">
        <v>4</v>
      </c>
      <c r="I13" s="10" t="n">
        <v>4</v>
      </c>
      <c r="J13" s="8">
        <f>H13-F13</f>
        <v/>
      </c>
      <c r="K13" s="8">
        <f>I13-G13</f>
        <v/>
      </c>
      <c r="L13" s="8">
        <f>F13-G13</f>
        <v/>
      </c>
      <c r="M13" s="8">
        <f>H13-I13</f>
        <v/>
      </c>
      <c r="N13" s="8">
        <f>IF(M13&gt;L13,"YES - engine gap exceeds model",IF(M13=L13,"no - applied exactly once","no - applied LESS than once"))</f>
        <v/>
      </c>
      <c r="O13" s="8">
        <f>IF(AND(J13=0,K13=0),"yes","NO - hand-set")</f>
        <v/>
      </c>
    </row>
    <row r="14">
      <c r="A14" s="8" t="inlineStr">
        <is>
          <t>Ranger</t>
        </is>
      </c>
      <c r="B14" s="8" t="inlineStr">
        <is>
          <t>Fey Wanderer</t>
        </is>
      </c>
      <c r="C14" s="9" t="inlineStr">
        <is>
          <t>Half caster - 1 spell each at 1st/2nd</t>
        </is>
      </c>
      <c r="D14" s="9" t="n">
        <v>2</v>
      </c>
      <c r="E14" s="10" t="n">
        <v>0</v>
      </c>
      <c r="F14" s="8">
        <f>SUMIFS('Per-spell working'!$F$2:$F$118,'Per-spell working'!$A$2:$A$118,"Ranger|Fey Wanderer")</f>
        <v/>
      </c>
      <c r="G14" s="8">
        <f>SUMIFS('Per-spell working'!$G$2:$G$118,'Per-spell working'!$A$2:$A$118,"Ranger|Fey Wanderer")</f>
        <v/>
      </c>
      <c r="H14" s="10" t="n">
        <v>2</v>
      </c>
      <c r="I14" s="10" t="n">
        <v>2</v>
      </c>
      <c r="J14" s="8">
        <f>H14-F14</f>
        <v/>
      </c>
      <c r="K14" s="8">
        <f>I14-G14</f>
        <v/>
      </c>
      <c r="L14" s="8">
        <f>F14-G14</f>
        <v/>
      </c>
      <c r="M14" s="8">
        <f>H14-I14</f>
        <v/>
      </c>
      <c r="N14" s="8">
        <f>IF(M14&gt;L14,"YES - engine gap exceeds model",IF(M14=L14,"no - applied exactly once","no - applied LESS than once"))</f>
        <v/>
      </c>
      <c r="O14" s="8">
        <f>IF(AND(J14=0,K14=0),"yes","NO - hand-set")</f>
        <v/>
      </c>
    </row>
    <row r="15">
      <c r="A15" s="8" t="inlineStr">
        <is>
          <t>Ranger</t>
        </is>
      </c>
      <c r="B15" s="8" t="inlineStr">
        <is>
          <t>Gloom Stalker</t>
        </is>
      </c>
      <c r="C15" s="9" t="inlineStr">
        <is>
          <t>Half caster - 1 spell each at 1st/2nd</t>
        </is>
      </c>
      <c r="D15" s="9" t="n">
        <v>2</v>
      </c>
      <c r="E15" s="10" t="n">
        <v>0</v>
      </c>
      <c r="F15" s="8">
        <f>SUMIFS('Per-spell working'!$F$2:$F$118,'Per-spell working'!$A$2:$A$118,"Ranger|Gloom Stalker")</f>
        <v/>
      </c>
      <c r="G15" s="8">
        <f>SUMIFS('Per-spell working'!$G$2:$G$118,'Per-spell working'!$A$2:$A$118,"Ranger|Gloom Stalker")</f>
        <v/>
      </c>
      <c r="H15" s="10" t="n">
        <v>2</v>
      </c>
      <c r="I15" s="10" t="n">
        <v>2</v>
      </c>
      <c r="J15" s="8">
        <f>H15-F15</f>
        <v/>
      </c>
      <c r="K15" s="8">
        <f>I15-G15</f>
        <v/>
      </c>
      <c r="L15" s="8">
        <f>F15-G15</f>
        <v/>
      </c>
      <c r="M15" s="8">
        <f>H15-I15</f>
        <v/>
      </c>
      <c r="N15" s="8">
        <f>IF(M15&gt;L15,"YES - engine gap exceeds model",IF(M15=L15,"no - applied exactly once","no - applied LESS than once"))</f>
        <v/>
      </c>
      <c r="O15" s="8">
        <f>IF(AND(J15=0,K15=0),"yes","NO - hand-set")</f>
        <v/>
      </c>
    </row>
    <row r="16">
      <c r="A16" s="8" t="inlineStr">
        <is>
          <t>Sorcerer</t>
        </is>
      </c>
      <c r="B16" s="8" t="inlineStr">
        <is>
          <t>Aberrant Sorcery</t>
        </is>
      </c>
      <c r="C16" s="9" t="inlineStr">
        <is>
          <t>Full caster - 2 spells each at 1st/2nd/3rd</t>
        </is>
      </c>
      <c r="D16" s="9" t="n">
        <v>6</v>
      </c>
      <c r="E16" s="10" t="n">
        <v>1</v>
      </c>
      <c r="F16" s="8">
        <f>SUMIFS('Per-spell working'!$F$2:$F$118,'Per-spell working'!$A$2:$A$118,"Sorcerer|Aberrant Sorcery")</f>
        <v/>
      </c>
      <c r="G16" s="8">
        <f>SUMIFS('Per-spell working'!$G$2:$G$118,'Per-spell working'!$A$2:$A$118,"Sorcerer|Aberrant Sorcery")</f>
        <v/>
      </c>
      <c r="H16" s="10" t="n">
        <v>12</v>
      </c>
      <c r="I16" s="10" t="n">
        <v>10</v>
      </c>
      <c r="J16" s="8">
        <f>H16-F16</f>
        <v/>
      </c>
      <c r="K16" s="8">
        <f>I16-G16</f>
        <v/>
      </c>
      <c r="L16" s="8">
        <f>F16-G16</f>
        <v/>
      </c>
      <c r="M16" s="8">
        <f>H16-I16</f>
        <v/>
      </c>
      <c r="N16" s="8">
        <f>IF(M16&gt;L16,"YES - engine gap exceeds model",IF(M16=L16,"no - applied exactly once","no - applied LESS than once"))</f>
        <v/>
      </c>
      <c r="O16" s="8">
        <f>IF(AND(J16=0,K16=0),"yes","NO - hand-set")</f>
        <v/>
      </c>
    </row>
    <row r="17">
      <c r="A17" s="8" t="inlineStr">
        <is>
          <t>Sorcerer</t>
        </is>
      </c>
      <c r="B17" s="8" t="inlineStr">
        <is>
          <t>Clockwork Sorcery</t>
        </is>
      </c>
      <c r="C17" s="9" t="inlineStr">
        <is>
          <t>Full caster - 2 spells each at 1st/2nd/3rd</t>
        </is>
      </c>
      <c r="D17" s="9" t="n">
        <v>6</v>
      </c>
      <c r="E17" s="10" t="n">
        <v>0</v>
      </c>
      <c r="F17" s="8">
        <f>SUMIFS('Per-spell working'!$F$2:$F$118,'Per-spell working'!$A$2:$A$118,"Sorcerer|Clockwork Sorcery")</f>
        <v/>
      </c>
      <c r="G17" s="8">
        <f>SUMIFS('Per-spell working'!$G$2:$G$118,'Per-spell working'!$A$2:$A$118,"Sorcerer|Clockwork Sorcery")</f>
        <v/>
      </c>
      <c r="H17" s="10" t="n">
        <v>8</v>
      </c>
      <c r="I17" s="10" t="n">
        <v>6</v>
      </c>
      <c r="J17" s="8">
        <f>H17-F17</f>
        <v/>
      </c>
      <c r="K17" s="8">
        <f>I17-G17</f>
        <v/>
      </c>
      <c r="L17" s="8">
        <f>F17-G17</f>
        <v/>
      </c>
      <c r="M17" s="8">
        <f>H17-I17</f>
        <v/>
      </c>
      <c r="N17" s="8">
        <f>IF(M17&gt;L17,"YES - engine gap exceeds model",IF(M17=L17,"no - applied exactly once","no - applied LESS than once"))</f>
        <v/>
      </c>
      <c r="O17" s="8">
        <f>IF(AND(J17=0,K17=0),"yes","NO - hand-set")</f>
        <v/>
      </c>
    </row>
    <row r="18">
      <c r="A18" s="8" t="inlineStr">
        <is>
          <t>Sorcerer</t>
        </is>
      </c>
      <c r="B18" s="8" t="inlineStr">
        <is>
          <t>Draconic Sorcery</t>
        </is>
      </c>
      <c r="C18" s="9" t="inlineStr">
        <is>
          <t>Full caster - 2 spells each at 1st/2nd/3rd</t>
        </is>
      </c>
      <c r="D18" s="9" t="n">
        <v>6</v>
      </c>
      <c r="E18" s="10" t="n">
        <v>0</v>
      </c>
      <c r="F18" s="8">
        <f>SUMIFS('Per-spell working'!$F$2:$F$118,'Per-spell working'!$A$2:$A$118,"Sorcerer|Draconic Sorcery")</f>
        <v/>
      </c>
      <c r="G18" s="8">
        <f>SUMIFS('Per-spell working'!$G$2:$G$118,'Per-spell working'!$A$2:$A$118,"Sorcerer|Draconic Sorcery")</f>
        <v/>
      </c>
      <c r="H18" s="10" t="n">
        <v>8</v>
      </c>
      <c r="I18" s="10" t="n">
        <v>6</v>
      </c>
      <c r="J18" s="8">
        <f>H18-F18</f>
        <v/>
      </c>
      <c r="K18" s="8">
        <f>I18-G18</f>
        <v/>
      </c>
      <c r="L18" s="8">
        <f>F18-G18</f>
        <v/>
      </c>
      <c r="M18" s="8">
        <f>H18-I18</f>
        <v/>
      </c>
      <c r="N18" s="8">
        <f>IF(M18&gt;L18,"YES - engine gap exceeds model",IF(M18=L18,"no - applied exactly once","no - applied LESS than once"))</f>
        <v/>
      </c>
      <c r="O18" s="8">
        <f>IF(AND(J18=0,K18=0),"yes","NO - hand-set")</f>
        <v/>
      </c>
    </row>
    <row r="19">
      <c r="A19" s="8" t="inlineStr">
        <is>
          <t>Warlock</t>
        </is>
      </c>
      <c r="B19" s="8" t="inlineStr">
        <is>
          <t>Archfey Patron</t>
        </is>
      </c>
      <c r="C19" s="9" t="inlineStr">
        <is>
          <t>Full caster - 2 spells each at 1st/2nd/3rd</t>
        </is>
      </c>
      <c r="D19" s="9" t="n">
        <v>6</v>
      </c>
      <c r="E19" s="10" t="n">
        <v>0</v>
      </c>
      <c r="F19" s="8">
        <f>SUMIFS('Per-spell working'!$F$2:$F$118,'Per-spell working'!$A$2:$A$118,"Warlock|Archfey Patron")</f>
        <v/>
      </c>
      <c r="G19" s="8">
        <f>SUMIFS('Per-spell working'!$G$2:$G$118,'Per-spell working'!$A$2:$A$118,"Warlock|Archfey Patron")</f>
        <v/>
      </c>
      <c r="H19" s="10" t="n">
        <v>9</v>
      </c>
      <c r="I19" s="10" t="n">
        <v>7</v>
      </c>
      <c r="J19" s="8">
        <f>H19-F19</f>
        <v/>
      </c>
      <c r="K19" s="8">
        <f>I19-G19</f>
        <v/>
      </c>
      <c r="L19" s="8">
        <f>F19-G19</f>
        <v/>
      </c>
      <c r="M19" s="8">
        <f>H19-I19</f>
        <v/>
      </c>
      <c r="N19" s="8">
        <f>IF(M19&gt;L19,"YES - engine gap exceeds model",IF(M19=L19,"no - applied exactly once","no - applied LESS than once"))</f>
        <v/>
      </c>
      <c r="O19" s="8">
        <f>IF(AND(J19=0,K19=0),"yes","NO - hand-set")</f>
        <v/>
      </c>
    </row>
    <row r="20">
      <c r="A20" s="8" t="inlineStr">
        <is>
          <t>Warlock</t>
        </is>
      </c>
      <c r="B20" s="8" t="inlineStr">
        <is>
          <t>Celestial Patron</t>
        </is>
      </c>
      <c r="C20" s="9" t="inlineStr">
        <is>
          <t>Full caster - 2 spells each at 1st/2nd/3rd</t>
        </is>
      </c>
      <c r="D20" s="9" t="n">
        <v>6</v>
      </c>
      <c r="E20" s="10" t="n">
        <v>2</v>
      </c>
      <c r="F20" s="8">
        <f>SUMIFS('Per-spell working'!$F$2:$F$118,'Per-spell working'!$A$2:$A$118,"Warlock|Celestial Patron")</f>
        <v/>
      </c>
      <c r="G20" s="8">
        <f>SUMIFS('Per-spell working'!$G$2:$G$118,'Per-spell working'!$A$2:$A$118,"Warlock|Celestial Patron")</f>
        <v/>
      </c>
      <c r="H20" s="10" t="n">
        <v>16</v>
      </c>
      <c r="I20" s="10" t="n">
        <v>14</v>
      </c>
      <c r="J20" s="8">
        <f>H20-F20</f>
        <v/>
      </c>
      <c r="K20" s="8">
        <f>I20-G20</f>
        <v/>
      </c>
      <c r="L20" s="8">
        <f>F20-G20</f>
        <v/>
      </c>
      <c r="M20" s="8">
        <f>H20-I20</f>
        <v/>
      </c>
      <c r="N20" s="8">
        <f>IF(M20&gt;L20,"YES - engine gap exceeds model",IF(M20=L20,"no - applied exactly once","no - applied LESS than once"))</f>
        <v/>
      </c>
      <c r="O20" s="8">
        <f>IF(AND(J20=0,K20=0),"yes","NO - hand-set")</f>
        <v/>
      </c>
    </row>
    <row r="21">
      <c r="A21" s="8" t="inlineStr">
        <is>
          <t>Warlock</t>
        </is>
      </c>
      <c r="B21" s="8" t="inlineStr">
        <is>
          <t>Fiend Patron</t>
        </is>
      </c>
      <c r="C21" s="9" t="inlineStr">
        <is>
          <t>Full caster - 2 spells each at 1st/2nd/3rd</t>
        </is>
      </c>
      <c r="D21" s="9" t="n">
        <v>6</v>
      </c>
      <c r="E21" s="10" t="n">
        <v>0</v>
      </c>
      <c r="F21" s="8">
        <f>SUMIFS('Per-spell working'!$F$2:$F$118,'Per-spell working'!$A$2:$A$118,"Warlock|Fiend Patron")</f>
        <v/>
      </c>
      <c r="G21" s="8">
        <f>SUMIFS('Per-spell working'!$G$2:$G$118,'Per-spell working'!$A$2:$A$118,"Warlock|Fiend Patron")</f>
        <v/>
      </c>
      <c r="H21" s="10" t="n">
        <v>8</v>
      </c>
      <c r="I21" s="10" t="n">
        <v>6</v>
      </c>
      <c r="J21" s="8">
        <f>H21-F21</f>
        <v/>
      </c>
      <c r="K21" s="8">
        <f>I21-G21</f>
        <v/>
      </c>
      <c r="L21" s="8">
        <f>F21-G21</f>
        <v/>
      </c>
      <c r="M21" s="8">
        <f>H21-I21</f>
        <v/>
      </c>
      <c r="N21" s="8">
        <f>IF(M21&gt;L21,"YES - engine gap exceeds model",IF(M21=L21,"no - applied exactly once","no - applied LESS than once"))</f>
        <v/>
      </c>
      <c r="O21" s="8">
        <f>IF(AND(J21=0,K21=0),"yes","NO - hand-set")</f>
        <v/>
      </c>
    </row>
    <row r="22">
      <c r="A22" s="8" t="inlineStr">
        <is>
          <t>Warlock</t>
        </is>
      </c>
      <c r="B22" s="8" t="inlineStr">
        <is>
          <t>Great Old One Patron</t>
        </is>
      </c>
      <c r="C22" s="9" t="inlineStr">
        <is>
          <t>Full caster - 2 spells each at 1st/2nd/3rd</t>
        </is>
      </c>
      <c r="D22" s="9" t="n">
        <v>6</v>
      </c>
      <c r="E22" s="10" t="n">
        <v>0</v>
      </c>
      <c r="F22" s="8">
        <f>SUMIFS('Per-spell working'!$F$2:$F$118,'Per-spell working'!$A$2:$A$118,"Warlock|Great Old One Patron")</f>
        <v/>
      </c>
      <c r="G22" s="8">
        <f>SUMIFS('Per-spell working'!$G$2:$G$118,'Per-spell working'!$A$2:$A$118,"Warlock|Great Old One Patron")</f>
        <v/>
      </c>
      <c r="H22" s="10" t="n">
        <v>8</v>
      </c>
      <c r="I22" s="10" t="n">
        <v>6</v>
      </c>
      <c r="J22" s="8">
        <f>H22-F22</f>
        <v/>
      </c>
      <c r="K22" s="8">
        <f>I22-G22</f>
        <v/>
      </c>
      <c r="L22" s="8">
        <f>F22-G22</f>
        <v/>
      </c>
      <c r="M22" s="8">
        <f>H22-I22</f>
        <v/>
      </c>
      <c r="N22" s="8">
        <f>IF(M22&gt;L22,"YES - engine gap exceeds model",IF(M22=L22,"no - applied exactly once","no - applied LESS than once"))</f>
        <v/>
      </c>
      <c r="O22" s="8">
        <f>IF(AND(J22=0,K22=0),"yes","NO - hand-set")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>
      <c r="A24" s="12" t="inlineStr">
        <is>
          <t>Subclasses of these classes that sell NO bundle - nothing to buy, no cost, no option</t>
        </is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</row>
    <row r="25">
      <c r="A25" s="8" t="inlineStr">
        <is>
          <t>Ranger</t>
        </is>
      </c>
      <c r="B25" s="8" t="inlineStr">
        <is>
          <t>Beast Master</t>
        </is>
      </c>
      <c r="C25" s="10" t="inlineStr">
        <is>
          <t>no spellBundle in the engine</t>
        </is>
      </c>
      <c r="D25" s="11" t="n"/>
      <c r="E25" s="11" t="n"/>
      <c r="F25" s="11" t="n"/>
      <c r="G25" s="11" t="n"/>
      <c r="H25" s="10" t="inlineStr">
        <is>
          <t>none</t>
        </is>
      </c>
      <c r="I25" s="10" t="inlineStr">
        <is>
          <t>none</t>
        </is>
      </c>
      <c r="J25" s="11" t="n"/>
      <c r="K25" s="11" t="n"/>
      <c r="L25" s="11" t="n"/>
      <c r="M25" s="11" t="n"/>
      <c r="N25" s="10" t="inlineStr">
        <is>
          <t>n/a - nothing to buy</t>
        </is>
      </c>
      <c r="O25" s="11" t="n"/>
    </row>
    <row r="26">
      <c r="A26" s="8" t="inlineStr">
        <is>
          <t>Ranger</t>
        </is>
      </c>
      <c r="B26" s="8" t="inlineStr">
        <is>
          <t>Hunter</t>
        </is>
      </c>
      <c r="C26" s="10" t="inlineStr">
        <is>
          <t>no spellBundle in the engine</t>
        </is>
      </c>
      <c r="D26" s="11" t="n"/>
      <c r="E26" s="11" t="n"/>
      <c r="F26" s="11" t="n"/>
      <c r="G26" s="11" t="n"/>
      <c r="H26" s="10" t="inlineStr">
        <is>
          <t>none</t>
        </is>
      </c>
      <c r="I26" s="10" t="inlineStr">
        <is>
          <t>none</t>
        </is>
      </c>
      <c r="J26" s="11" t="n"/>
      <c r="K26" s="11" t="n"/>
      <c r="L26" s="11" t="n"/>
      <c r="M26" s="11" t="n"/>
      <c r="N26" s="10" t="inlineStr">
        <is>
          <t>n/a - nothing to buy</t>
        </is>
      </c>
      <c r="O26" s="11" t="n"/>
    </row>
    <row r="27">
      <c r="A27" s="8" t="inlineStr">
        <is>
          <t>Sorcerer</t>
        </is>
      </c>
      <c r="B27" s="8" t="inlineStr">
        <is>
          <t>Wild Magic Sorcery</t>
        </is>
      </c>
      <c r="C27" s="10" t="inlineStr">
        <is>
          <t>no spellBundle in the engine</t>
        </is>
      </c>
      <c r="D27" s="11" t="n"/>
      <c r="E27" s="11" t="n"/>
      <c r="F27" s="11" t="n"/>
      <c r="G27" s="11" t="n"/>
      <c r="H27" s="10" t="inlineStr">
        <is>
          <t>none</t>
        </is>
      </c>
      <c r="I27" s="10" t="inlineStr">
        <is>
          <t>none</t>
        </is>
      </c>
      <c r="J27" s="11" t="n"/>
      <c r="K27" s="11" t="n"/>
      <c r="L27" s="11" t="n"/>
      <c r="M27" s="11" t="n"/>
      <c r="N27" s="10" t="inlineStr">
        <is>
          <t>n/a - nothing to buy</t>
        </is>
      </c>
      <c r="O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</row>
    <row r="29">
      <c r="A29" s="12" t="inlineStr">
        <is>
          <t>Column N is the direct answer: a doubled discount would make the ENGINE gap (M) larger than the model gap (L). It never is - on any of the 21 bundles.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6" customWidth="1" min="5" max="5"/>
  </cols>
  <sheetData>
    <row r="1">
      <c r="A1" s="13" t="inlineStr">
        <is>
          <t>What the same buyer pays, by relationship to the class</t>
        </is>
      </c>
    </row>
    <row r="2">
      <c r="A2" s="6" t="inlineStr">
        <is>
          <t>Verified by running compute() - not read off the source. See the note under each table.</t>
        </is>
      </c>
    </row>
    <row r="4">
      <c r="A4" s="14" t="inlineStr">
        <is>
          <t>Purchase</t>
        </is>
      </c>
      <c r="B4" s="14" t="inlineStr">
        <is>
          <t>Origin class</t>
        </is>
      </c>
      <c r="C4" s="14" t="inlineStr">
        <is>
          <t>Class unlocked,
not origin</t>
        </is>
      </c>
      <c r="D4" s="14" t="inlineStr">
        <is>
          <t>Neither</t>
        </is>
      </c>
      <c r="E4" s="14" t="inlineStr">
        <is>
          <t>How that middle figure is reached</t>
        </is>
      </c>
    </row>
    <row r="5">
      <c r="A5" s="6" t="inlineStr">
        <is>
          <t>Feature: Cleric: Blessed Strikes</t>
        </is>
      </c>
      <c r="B5" s="3" t="n">
        <v>10</v>
      </c>
      <c r="C5" s="3" t="n">
        <v>13</v>
      </c>
      <c r="D5" s="3" t="n">
        <v>17</v>
      </c>
      <c r="E5" s="15" t="inlineStr">
        <is>
          <t>sticker = cross - tier = 17 - 4 = 13</t>
        </is>
      </c>
    </row>
    <row r="6">
      <c r="A6" s="6" t="inlineStr">
        <is>
          <t>Bundle: Cleric | Life Domain</t>
        </is>
      </c>
      <c r="B6" s="3" t="n">
        <v>6</v>
      </c>
      <c r="C6" s="3" t="n">
        <v>8</v>
      </c>
      <c r="D6" s="3" t="n">
        <v>8</v>
      </c>
      <c r="E6" s="15" t="inlineStr">
        <is>
          <t>no tier exists, so nothing is subtracted - it stays at cross = 8</t>
        </is>
      </c>
    </row>
    <row r="8">
      <c r="A8" s="6" t="inlineStr">
        <is>
          <t>The guide's ability tables print column 3 as 'Sticker (Origin)'. In both rows above that column is the</t>
        </is>
      </c>
    </row>
    <row r="9">
      <c r="A9" s="6" t="inlineStr">
        <is>
          <t>middle figure and the bracket is the first - i.e. 'what a non-origin member of the class pays (what an</t>
        </is>
      </c>
    </row>
    <row r="10">
      <c r="A10" s="6" t="inlineStr">
        <is>
          <t>origin member pays)'. The meaning is consistent; only the route to it differs.</t>
        </is>
      </c>
    </row>
    <row r="11">
      <c r="A11" s="6" t="inlineStr"/>
    </row>
    <row r="12">
      <c r="A12" s="6" t="inlineStr">
        <is>
          <t>The real asymmetry, which is worth a decision: unlocking a class cuts 4 AP off that class's FEATURE</t>
        </is>
      </c>
    </row>
    <row r="13">
      <c r="A13" s="6" t="inlineStr">
        <is>
          <t>(17 -&gt; 13) but nothing off its BUNDLE (8 -&gt; 8). Bundles have no sticker tier in the engine at all.</t>
        </is>
      </c>
    </row>
    <row r="14">
      <c r="A14" s="6" t="inlineStr"/>
    </row>
    <row r="15">
      <c r="A15" s="6" t="inlineStr">
        <is>
          <t>Neither table shows a discount being applied twice. If it were, the origin figure would fall below the</t>
        </is>
      </c>
    </row>
    <row r="16">
      <c r="A16" s="6" t="inlineStr">
        <is>
          <t>per-spell floor - check the 'Per-spell working' sheet: no Origin AP cell there is ever less than 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2026-08-17T11:02:13Z</dcterms:created>
  <dcterms:modified xsi:type="dcterms:W3CDTF">2026-08-17T11:02:13Z</dcterms:modified>
</cp:coreProperties>
</file>