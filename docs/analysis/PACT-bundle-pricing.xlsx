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Per-spell working" sheetId="2" state="visible" r:id="rId2"/>
    <sheet name="Bundles" sheetId="3" state="visible" r:id="rId3"/>
    <sheet name="Price path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color rgb="00008000"/>
    </font>
    <font>
      <name val="Arial"/>
      <b val="1"/>
      <sz val="11"/>
    </font>
    <font>
      <name val="Arial"/>
      <color rgb="000000FF"/>
    </font>
    <font>
      <name val="Arial"/>
    </font>
    <font>
      <name val="Arial"/>
      <b val="1"/>
      <color rgb="00FFFFFF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58180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center" wrapText="1"/>
    </xf>
    <xf numFmtId="0" fontId="6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8" fillId="0" borderId="1" pivotButton="0" quotePrefix="0" xfId="0"/>
    <xf numFmtId="0" fontId="1" fillId="0" borderId="0" pivotButton="0" quotePrefix="0" xfId="0"/>
    <xf numFmtId="0" fontId="7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selection activeCell="A1" sqref="A1"/>
    </sheetView>
  </sheetViews>
  <sheetFormatPr baseColWidth="8" defaultRowHeight="15"/>
  <cols>
    <col width="106" customWidth="1" min="1" max="1"/>
    <col width="14" customWidth="1" min="2" max="2"/>
  </cols>
  <sheetData>
    <row r="1">
      <c r="A1" s="1" t="inlineStr">
        <is>
          <t>PACT - how a subclass bonus-spell bundle is priced</t>
        </is>
      </c>
    </row>
    <row r="3">
      <c r="A3" s="2" t="inlineStr">
        <is>
          <t>Engine rules version (js/engine-data.js)</t>
        </is>
      </c>
      <c r="B3" s="3" t="inlineStr">
        <is>
          <t>v0.347</t>
        </is>
      </c>
    </row>
    <row r="5">
      <c r="A5" s="4" t="inlineStr">
        <is>
          <t>READ THIS FIRST - is the origin discount applied twice?</t>
        </is>
      </c>
    </row>
    <row r="6">
      <c r="A6" s="2" t="inlineStr">
        <is>
          <t>No. A bundle is charged with ONE lookup: engine.js does `_isO ? bundle.origin : bundle.cross`. It</t>
        </is>
      </c>
    </row>
    <row r="7">
      <c r="A7" s="2" t="inlineStr">
        <is>
          <t>picks one of two stored numbers and never subtracts a discount from either, so there is no second</t>
        </is>
      </c>
    </row>
    <row r="8">
      <c r="A8" s="2" t="inlineStr">
        <is>
          <t>application to be had. The discount is applied once, when the stored `origin` figure was derived -</t>
        </is>
      </c>
    </row>
    <row r="9">
      <c r="A9" s="2" t="inlineStr">
        <is>
          <t>and the 'Per-spell working' sheet reproduces that derivation from the real spell lists.</t>
        </is>
      </c>
    </row>
    <row r="10">
      <c r="A10" s="2" t="inlineStr"/>
    </row>
    <row r="11">
      <c r="A11" s="2" t="inlineStr">
        <is>
          <t>The direct check is the ORIGIN GAP (cross - origin) on the Bundles sheet. If the discount were being</t>
        </is>
      </c>
    </row>
    <row r="12">
      <c r="A12" s="2" t="inlineStr">
        <is>
          <t>applied twice, the engine's gap would exceed the model's gap. On all 21 bundles it does not - column</t>
        </is>
      </c>
    </row>
    <row r="13">
      <c r="A13" s="2" t="inlineStr">
        <is>
          <t>N reads 'applied exactly once' for every one.</t>
        </is>
      </c>
    </row>
    <row r="14">
      <c r="A14" s="2" t="inlineStr"/>
    </row>
    <row r="15">
      <c r="A15" s="2" t="inlineStr">
        <is>
          <t>What DOES look wrong side by side, and isn't: the guide's ability tables head column 3 'Sticker</t>
        </is>
      </c>
    </row>
    <row r="16">
      <c r="A16" s="2" t="inlineStr">
        <is>
          <t>(Origin)'. For an ordinary class feature the sticker is already reduced - sticker = cross - tier. A</t>
        </is>
      </c>
    </row>
    <row r="17">
      <c r="A17" s="2" t="inlineStr">
        <is>
          <t>bundle has no tier, so nothing is subtracted and the sticker equals the full cross price. Both mean</t>
        </is>
      </c>
    </row>
    <row r="18">
      <c r="A18" s="2" t="inlineStr">
        <is>
          <t>'what a non-origin member of that class pays'; they are just reached differently. See 'Price paths'.</t>
        </is>
      </c>
    </row>
    <row r="20">
      <c r="A20" s="4" t="inlineStr">
        <is>
          <t>Inputs (blue = hardcoded here, green = read from the engine)</t>
        </is>
      </c>
    </row>
    <row r="21">
      <c r="A21" s="2" t="inlineStr">
        <is>
          <t>Origin discount, AP per spell</t>
        </is>
      </c>
      <c r="B21" s="5" t="n">
        <v>1</v>
      </c>
    </row>
    <row r="22">
      <c r="A22" s="2" t="inlineStr">
        <is>
          <t>Floor - no spell can cost less than this</t>
        </is>
      </c>
      <c r="B22" s="5" t="n">
        <v>1</v>
      </c>
    </row>
    <row r="23">
      <c r="A23" s="2" t="inlineStr">
        <is>
          <t>Cantrip granted by a bundle, flat AP each (no discount)</t>
        </is>
      </c>
      <c r="B23" s="3" t="n">
        <v>4</v>
      </c>
    </row>
    <row r="24">
      <c r="A24" s="2" t="inlineStr">
        <is>
          <t>Grants unlocking above this character level ride free</t>
        </is>
      </c>
      <c r="B24" s="3" t="n">
        <v>5</v>
      </c>
    </row>
    <row r="26">
      <c r="A26" s="4" t="inlineStr">
        <is>
          <t>AP per spell known, by spell level (DATA.knownUnit)</t>
        </is>
      </c>
    </row>
    <row r="27">
      <c r="A27" s="6" t="n">
        <v>1</v>
      </c>
      <c r="B27" s="3" t="n">
        <v>1</v>
      </c>
    </row>
    <row r="28">
      <c r="A28" s="6" t="n">
        <v>2</v>
      </c>
      <c r="B28" s="3" t="n">
        <v>1</v>
      </c>
    </row>
    <row r="29">
      <c r="A29" s="6" t="n">
        <v>3</v>
      </c>
      <c r="B29" s="3" t="n">
        <v>2</v>
      </c>
    </row>
    <row r="30">
      <c r="A30" s="6" t="n">
        <v>4</v>
      </c>
      <c r="B30" s="3" t="n">
        <v>2</v>
      </c>
    </row>
    <row r="31">
      <c r="A31" s="6" t="n">
        <v>5</v>
      </c>
      <c r="B31" s="3" t="n">
        <v>3</v>
      </c>
    </row>
    <row r="32">
      <c r="A32" s="6" t="n">
        <v>6</v>
      </c>
      <c r="B32" s="3" t="n">
        <v>3</v>
      </c>
    </row>
    <row r="33">
      <c r="A33" s="6" t="n">
        <v>7</v>
      </c>
      <c r="B33" s="3" t="n">
        <v>4</v>
      </c>
    </row>
    <row r="34">
      <c r="A34" s="6" t="n">
        <v>8</v>
      </c>
      <c r="B34" s="3" t="n">
        <v>4</v>
      </c>
    </row>
    <row r="35">
      <c r="A35" s="6" t="n">
        <v>9</v>
      </c>
      <c r="B35" s="3" t="n">
        <v>5</v>
      </c>
    </row>
    <row r="37">
      <c r="A37" s="4" t="inlineStr">
        <is>
          <t>Where the spell lists come from</t>
        </is>
      </c>
    </row>
    <row r="38">
      <c r="A38" s="2" t="inlineStr">
        <is>
          <t>DATA.spellGrants.subclassSpells - the engine's own index of every 2024 ability that grants spells,</t>
        </is>
      </c>
    </row>
    <row r="39">
      <c r="A39" s="2" t="inlineStr">
        <is>
          <t>with each spell's level and the character level its grant unlocks at. Nothing here is reconstructed.</t>
        </is>
      </c>
    </row>
    <row r="40">
      <c r="A40" s="2" t="inlineStr">
        <is>
          <t>This reproduces 20 of the 21 stored prices exactly; Circle of the Sea is the single miss (charged</t>
        </is>
      </c>
    </row>
    <row r="41">
      <c r="A41" s="2" t="inlineStr">
        <is>
          <t>11/9 where its seven paid grants total 12/10 - the same shape as Aberrant Sorcery, charged 12/10).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24" customWidth="1" min="3" max="3"/>
    <col width="30" customWidth="1" min="4" max="4"/>
    <col width="12" customWidth="1" min="5" max="5"/>
    <col width="11" customWidth="1" min="6" max="6"/>
    <col width="15" customWidth="1" min="7" max="7"/>
    <col width="10" customWidth="1" min="8" max="8"/>
    <col width="14" customWidth="1" min="9" max="9"/>
    <col width="12" customWidth="1" min="10" max="10"/>
  </cols>
  <sheetData>
    <row r="1">
      <c r="A1" s="7" t="inlineStr">
        <is>
          <t>Key</t>
        </is>
      </c>
      <c r="B1" s="7" t="inlineStr">
        <is>
          <t>Class</t>
        </is>
      </c>
      <c r="C1" s="7" t="inlineStr">
        <is>
          <t>Subclass</t>
        </is>
      </c>
      <c r="D1" s="7" t="inlineStr">
        <is>
          <t>Spell</t>
        </is>
      </c>
      <c r="E1" s="7" t="inlineStr">
        <is>
          <t>Spell level
(0 = cantrip)</t>
        </is>
      </c>
      <c r="F1" s="7" t="inlineStr">
        <is>
          <t>Unlocks at
char level</t>
        </is>
      </c>
      <c r="G1" s="7" t="inlineStr">
        <is>
          <t>Paid or free</t>
        </is>
      </c>
      <c r="H1" s="7" t="inlineStr">
        <is>
          <t>Cross AP</t>
        </is>
      </c>
      <c r="I1" s="7" t="inlineStr">
        <is>
          <t>Origin AP
(-1, floored at 1)</t>
        </is>
      </c>
      <c r="J1" s="7" t="inlineStr">
        <is>
          <t>Discount saved</t>
        </is>
      </c>
    </row>
    <row r="2">
      <c r="A2" s="8" t="inlineStr">
        <is>
          <t>Cleric|Life Domain</t>
        </is>
      </c>
      <c r="B2" s="8" t="inlineStr">
        <is>
          <t>Cleric</t>
        </is>
      </c>
      <c r="C2" s="8" t="inlineStr">
        <is>
          <t>Life Domain</t>
        </is>
      </c>
      <c r="D2" s="8" t="inlineStr">
        <is>
          <t>Aid</t>
        </is>
      </c>
      <c r="E2" s="8" t="n">
        <v>2</v>
      </c>
      <c r="F2" s="8" t="n">
        <v>3</v>
      </c>
      <c r="G2" s="8">
        <f>IF(F2&lt;=Model!$B$24,"PAID","free with bundle")</f>
        <v/>
      </c>
      <c r="H2" s="8">
        <f>VLOOKUP(E2,Model!$A$27:$B$35,2,FALSE)</f>
        <v/>
      </c>
      <c r="I2" s="8">
        <f>MAX(Model!$B$22,H2-Model!$B$21)</f>
        <v/>
      </c>
      <c r="J2" s="8">
        <f>H2-I2</f>
        <v/>
      </c>
    </row>
    <row r="3">
      <c r="A3" s="8" t="inlineStr">
        <is>
          <t>Cleric|Life Domain</t>
        </is>
      </c>
      <c r="B3" s="8" t="inlineStr">
        <is>
          <t>Cleric</t>
        </is>
      </c>
      <c r="C3" s="8" t="inlineStr">
        <is>
          <t>Life Domain</t>
        </is>
      </c>
      <c r="D3" s="8" t="inlineStr">
        <is>
          <t>Bless</t>
        </is>
      </c>
      <c r="E3" s="8" t="n">
        <v>1</v>
      </c>
      <c r="F3" s="8" t="n">
        <v>3</v>
      </c>
      <c r="G3" s="8">
        <f>IF(F3&lt;=Model!$B$24,"PAID","free with bundle")</f>
        <v/>
      </c>
      <c r="H3" s="8">
        <f>VLOOKUP(E3,Model!$A$27:$B$35,2,FALSE)</f>
        <v/>
      </c>
      <c r="I3" s="8">
        <f>MAX(Model!$B$22,H3-Model!$B$21)</f>
        <v/>
      </c>
      <c r="J3" s="8">
        <f>H3-I3</f>
        <v/>
      </c>
    </row>
    <row r="4">
      <c r="A4" s="8" t="inlineStr">
        <is>
          <t>Cleric|Life Domain</t>
        </is>
      </c>
      <c r="B4" s="8" t="inlineStr">
        <is>
          <t>Cleric</t>
        </is>
      </c>
      <c r="C4" s="8" t="inlineStr">
        <is>
          <t>Life Domain</t>
        </is>
      </c>
      <c r="D4" s="8" t="inlineStr">
        <is>
          <t>Cure Wounds</t>
        </is>
      </c>
      <c r="E4" s="8" t="n">
        <v>1</v>
      </c>
      <c r="F4" s="8" t="n">
        <v>3</v>
      </c>
      <c r="G4" s="8">
        <f>IF(F4&lt;=Model!$B$24,"PAID","free with bundle")</f>
        <v/>
      </c>
      <c r="H4" s="8">
        <f>VLOOKUP(E4,Model!$A$27:$B$35,2,FALSE)</f>
        <v/>
      </c>
      <c r="I4" s="8">
        <f>MAX(Model!$B$22,H4-Model!$B$21)</f>
        <v/>
      </c>
      <c r="J4" s="8">
        <f>H4-I4</f>
        <v/>
      </c>
    </row>
    <row r="5">
      <c r="A5" s="8" t="inlineStr">
        <is>
          <t>Cleric|Life Domain</t>
        </is>
      </c>
      <c r="B5" s="8" t="inlineStr">
        <is>
          <t>Cleric</t>
        </is>
      </c>
      <c r="C5" s="8" t="inlineStr">
        <is>
          <t>Life Domain</t>
        </is>
      </c>
      <c r="D5" s="8" t="inlineStr">
        <is>
          <t>Lesser Restoration</t>
        </is>
      </c>
      <c r="E5" s="8" t="n">
        <v>2</v>
      </c>
      <c r="F5" s="8" t="n">
        <v>3</v>
      </c>
      <c r="G5" s="8">
        <f>IF(F5&lt;=Model!$B$24,"PAID","free with bundle")</f>
        <v/>
      </c>
      <c r="H5" s="8">
        <f>VLOOKUP(E5,Model!$A$27:$B$35,2,FALSE)</f>
        <v/>
      </c>
      <c r="I5" s="8">
        <f>MAX(Model!$B$22,H5-Model!$B$21)</f>
        <v/>
      </c>
      <c r="J5" s="8">
        <f>H5-I5</f>
        <v/>
      </c>
    </row>
    <row r="6">
      <c r="A6" s="8" t="inlineStr">
        <is>
          <t>Cleric|Life Domain</t>
        </is>
      </c>
      <c r="B6" s="8" t="inlineStr">
        <is>
          <t>Cleric</t>
        </is>
      </c>
      <c r="C6" s="8" t="inlineStr">
        <is>
          <t>Life Domain</t>
        </is>
      </c>
      <c r="D6" s="8" t="inlineStr">
        <is>
          <t>Mass Healing Word</t>
        </is>
      </c>
      <c r="E6" s="8" t="n">
        <v>3</v>
      </c>
      <c r="F6" s="8" t="n">
        <v>5</v>
      </c>
      <c r="G6" s="8">
        <f>IF(F6&lt;=Model!$B$24,"PAID","free with bundle")</f>
        <v/>
      </c>
      <c r="H6" s="8">
        <f>VLOOKUP(E6,Model!$A$27:$B$35,2,FALSE)</f>
        <v/>
      </c>
      <c r="I6" s="8">
        <f>MAX(Model!$B$22,H6-Model!$B$21)</f>
        <v/>
      </c>
      <c r="J6" s="8">
        <f>H6-I6</f>
        <v/>
      </c>
    </row>
    <row r="7">
      <c r="A7" s="8" t="inlineStr">
        <is>
          <t>Cleric|Life Domain</t>
        </is>
      </c>
      <c r="B7" s="8" t="inlineStr">
        <is>
          <t>Cleric</t>
        </is>
      </c>
      <c r="C7" s="8" t="inlineStr">
        <is>
          <t>Life Domain</t>
        </is>
      </c>
      <c r="D7" s="8" t="inlineStr">
        <is>
          <t>Revivify</t>
        </is>
      </c>
      <c r="E7" s="8" t="n">
        <v>3</v>
      </c>
      <c r="F7" s="8" t="n">
        <v>5</v>
      </c>
      <c r="G7" s="8">
        <f>IF(F7&lt;=Model!$B$24,"PAID","free with bundle")</f>
        <v/>
      </c>
      <c r="H7" s="8">
        <f>VLOOKUP(E7,Model!$A$27:$B$35,2,FALSE)</f>
        <v/>
      </c>
      <c r="I7" s="8">
        <f>MAX(Model!$B$22,H7-Model!$B$21)</f>
        <v/>
      </c>
      <c r="J7" s="8">
        <f>H7-I7</f>
        <v/>
      </c>
    </row>
    <row r="8">
      <c r="A8" s="8" t="inlineStr">
        <is>
          <t>Cleric|Life Domain</t>
        </is>
      </c>
      <c r="B8" s="8" t="inlineStr">
        <is>
          <t>Cleric</t>
        </is>
      </c>
      <c r="C8" s="8" t="inlineStr">
        <is>
          <t>Life Domain</t>
        </is>
      </c>
      <c r="D8" s="8" t="inlineStr">
        <is>
          <t>Aura of Life</t>
        </is>
      </c>
      <c r="E8" s="8" t="n">
        <v>4</v>
      </c>
      <c r="F8" s="8" t="n">
        <v>7</v>
      </c>
      <c r="G8" s="8">
        <f>IF(F8&lt;=Model!$B$24,"PAID","free with bundle")</f>
        <v/>
      </c>
      <c r="H8" s="8" t="n">
        <v>0</v>
      </c>
      <c r="I8" s="8" t="n">
        <v>0</v>
      </c>
      <c r="J8" s="8">
        <f>H8-I8</f>
        <v/>
      </c>
    </row>
    <row r="9">
      <c r="A9" s="8" t="inlineStr">
        <is>
          <t>Cleric|Life Domain</t>
        </is>
      </c>
      <c r="B9" s="8" t="inlineStr">
        <is>
          <t>Cleric</t>
        </is>
      </c>
      <c r="C9" s="8" t="inlineStr">
        <is>
          <t>Life Domain</t>
        </is>
      </c>
      <c r="D9" s="8" t="inlineStr">
        <is>
          <t>Death Ward</t>
        </is>
      </c>
      <c r="E9" s="8" t="n">
        <v>4</v>
      </c>
      <c r="F9" s="8" t="n">
        <v>7</v>
      </c>
      <c r="G9" s="8">
        <f>IF(F9&lt;=Model!$B$24,"PAID","free with bundle")</f>
        <v/>
      </c>
      <c r="H9" s="8" t="n">
        <v>0</v>
      </c>
      <c r="I9" s="8" t="n">
        <v>0</v>
      </c>
      <c r="J9" s="8">
        <f>H9-I9</f>
        <v/>
      </c>
    </row>
    <row r="10">
      <c r="A10" s="8" t="inlineStr">
        <is>
          <t>Cleric|Life Domain</t>
        </is>
      </c>
      <c r="B10" s="8" t="inlineStr">
        <is>
          <t>Cleric</t>
        </is>
      </c>
      <c r="C10" s="8" t="inlineStr">
        <is>
          <t>Life Domain</t>
        </is>
      </c>
      <c r="D10" s="8" t="inlineStr">
        <is>
          <t>Greater Restoration</t>
        </is>
      </c>
      <c r="E10" s="8" t="n">
        <v>5</v>
      </c>
      <c r="F10" s="8" t="n">
        <v>9</v>
      </c>
      <c r="G10" s="8">
        <f>IF(F10&lt;=Model!$B$24,"PAID","free with bundle")</f>
        <v/>
      </c>
      <c r="H10" s="8" t="n">
        <v>0</v>
      </c>
      <c r="I10" s="8" t="n">
        <v>0</v>
      </c>
      <c r="J10" s="8">
        <f>H10-I10</f>
        <v/>
      </c>
    </row>
    <row r="11">
      <c r="A11" s="8" t="inlineStr">
        <is>
          <t>Cleric|Life Domain</t>
        </is>
      </c>
      <c r="B11" s="8" t="inlineStr">
        <is>
          <t>Cleric</t>
        </is>
      </c>
      <c r="C11" s="8" t="inlineStr">
        <is>
          <t>Life Domain</t>
        </is>
      </c>
      <c r="D11" s="8" t="inlineStr">
        <is>
          <t>Mass Cure Wounds</t>
        </is>
      </c>
      <c r="E11" s="8" t="n">
        <v>5</v>
      </c>
      <c r="F11" s="8" t="n">
        <v>9</v>
      </c>
      <c r="G11" s="8">
        <f>IF(F11&lt;=Model!$B$24,"PAID","free with bundle")</f>
        <v/>
      </c>
      <c r="H11" s="8" t="n">
        <v>0</v>
      </c>
      <c r="I11" s="8" t="n">
        <v>0</v>
      </c>
      <c r="J11" s="8">
        <f>H11-I11</f>
        <v/>
      </c>
    </row>
    <row r="12">
      <c r="A12" s="8" t="inlineStr">
        <is>
          <t>Cleric|Light Domain</t>
        </is>
      </c>
      <c r="B12" s="8" t="inlineStr">
        <is>
          <t>Cleric</t>
        </is>
      </c>
      <c r="C12" s="8" t="inlineStr">
        <is>
          <t>Light Domain</t>
        </is>
      </c>
      <c r="D12" s="8" t="inlineStr">
        <is>
          <t>Burning Hands</t>
        </is>
      </c>
      <c r="E12" s="8" t="n">
        <v>1</v>
      </c>
      <c r="F12" s="8" t="n">
        <v>3</v>
      </c>
      <c r="G12" s="8">
        <f>IF(F12&lt;=Model!$B$24,"PAID","free with bundle")</f>
        <v/>
      </c>
      <c r="H12" s="8">
        <f>VLOOKUP(E12,Model!$A$27:$B$35,2,FALSE)</f>
        <v/>
      </c>
      <c r="I12" s="8">
        <f>MAX(Model!$B$22,H12-Model!$B$21)</f>
        <v/>
      </c>
      <c r="J12" s="8">
        <f>H12-I12</f>
        <v/>
      </c>
    </row>
    <row r="13">
      <c r="A13" s="8" t="inlineStr">
        <is>
          <t>Cleric|Light Domain</t>
        </is>
      </c>
      <c r="B13" s="8" t="inlineStr">
        <is>
          <t>Cleric</t>
        </is>
      </c>
      <c r="C13" s="8" t="inlineStr">
        <is>
          <t>Light Domain</t>
        </is>
      </c>
      <c r="D13" s="8" t="inlineStr">
        <is>
          <t>Faerie Fire</t>
        </is>
      </c>
      <c r="E13" s="8" t="n">
        <v>1</v>
      </c>
      <c r="F13" s="8" t="n">
        <v>3</v>
      </c>
      <c r="G13" s="8">
        <f>IF(F13&lt;=Model!$B$24,"PAID","free with bundle")</f>
        <v/>
      </c>
      <c r="H13" s="8">
        <f>VLOOKUP(E13,Model!$A$27:$B$35,2,FALSE)</f>
        <v/>
      </c>
      <c r="I13" s="8">
        <f>MAX(Model!$B$22,H13-Model!$B$21)</f>
        <v/>
      </c>
      <c r="J13" s="8">
        <f>H13-I13</f>
        <v/>
      </c>
    </row>
    <row r="14">
      <c r="A14" s="8" t="inlineStr">
        <is>
          <t>Cleric|Light Domain</t>
        </is>
      </c>
      <c r="B14" s="8" t="inlineStr">
        <is>
          <t>Cleric</t>
        </is>
      </c>
      <c r="C14" s="8" t="inlineStr">
        <is>
          <t>Light Domain</t>
        </is>
      </c>
      <c r="D14" s="8" t="inlineStr">
        <is>
          <t>Scorching Ray</t>
        </is>
      </c>
      <c r="E14" s="8" t="n">
        <v>2</v>
      </c>
      <c r="F14" s="8" t="n">
        <v>3</v>
      </c>
      <c r="G14" s="8">
        <f>IF(F14&lt;=Model!$B$24,"PAID","free with bundle")</f>
        <v/>
      </c>
      <c r="H14" s="8">
        <f>VLOOKUP(E14,Model!$A$27:$B$35,2,FALSE)</f>
        <v/>
      </c>
      <c r="I14" s="8">
        <f>MAX(Model!$B$22,H14-Model!$B$21)</f>
        <v/>
      </c>
      <c r="J14" s="8">
        <f>H14-I14</f>
        <v/>
      </c>
    </row>
    <row r="15">
      <c r="A15" s="8" t="inlineStr">
        <is>
          <t>Cleric|Light Domain</t>
        </is>
      </c>
      <c r="B15" s="8" t="inlineStr">
        <is>
          <t>Cleric</t>
        </is>
      </c>
      <c r="C15" s="8" t="inlineStr">
        <is>
          <t>Light Domain</t>
        </is>
      </c>
      <c r="D15" s="8" t="inlineStr">
        <is>
          <t>See Invisibility</t>
        </is>
      </c>
      <c r="E15" s="8" t="n">
        <v>2</v>
      </c>
      <c r="F15" s="8" t="n">
        <v>3</v>
      </c>
      <c r="G15" s="8">
        <f>IF(F15&lt;=Model!$B$24,"PAID","free with bundle")</f>
        <v/>
      </c>
      <c r="H15" s="8">
        <f>VLOOKUP(E15,Model!$A$27:$B$35,2,FALSE)</f>
        <v/>
      </c>
      <c r="I15" s="8">
        <f>MAX(Model!$B$22,H15-Model!$B$21)</f>
        <v/>
      </c>
      <c r="J15" s="8">
        <f>H15-I15</f>
        <v/>
      </c>
    </row>
    <row r="16">
      <c r="A16" s="8" t="inlineStr">
        <is>
          <t>Cleric|Light Domain</t>
        </is>
      </c>
      <c r="B16" s="8" t="inlineStr">
        <is>
          <t>Cleric</t>
        </is>
      </c>
      <c r="C16" s="8" t="inlineStr">
        <is>
          <t>Light Domain</t>
        </is>
      </c>
      <c r="D16" s="8" t="inlineStr">
        <is>
          <t>Daylight</t>
        </is>
      </c>
      <c r="E16" s="8" t="n">
        <v>3</v>
      </c>
      <c r="F16" s="8" t="n">
        <v>5</v>
      </c>
      <c r="G16" s="8">
        <f>IF(F16&lt;=Model!$B$24,"PAID","free with bundle")</f>
        <v/>
      </c>
      <c r="H16" s="8">
        <f>VLOOKUP(E16,Model!$A$27:$B$35,2,FALSE)</f>
        <v/>
      </c>
      <c r="I16" s="8">
        <f>MAX(Model!$B$22,H16-Model!$B$21)</f>
        <v/>
      </c>
      <c r="J16" s="8">
        <f>H16-I16</f>
        <v/>
      </c>
    </row>
    <row r="17">
      <c r="A17" s="8" t="inlineStr">
        <is>
          <t>Cleric|Light Domain</t>
        </is>
      </c>
      <c r="B17" s="8" t="inlineStr">
        <is>
          <t>Cleric</t>
        </is>
      </c>
      <c r="C17" s="8" t="inlineStr">
        <is>
          <t>Light Domain</t>
        </is>
      </c>
      <c r="D17" s="8" t="inlineStr">
        <is>
          <t>Fireball</t>
        </is>
      </c>
      <c r="E17" s="8" t="n">
        <v>3</v>
      </c>
      <c r="F17" s="8" t="n">
        <v>5</v>
      </c>
      <c r="G17" s="8">
        <f>IF(F17&lt;=Model!$B$24,"PAID","free with bundle")</f>
        <v/>
      </c>
      <c r="H17" s="8">
        <f>VLOOKUP(E17,Model!$A$27:$B$35,2,FALSE)</f>
        <v/>
      </c>
      <c r="I17" s="8">
        <f>MAX(Model!$B$22,H17-Model!$B$21)</f>
        <v/>
      </c>
      <c r="J17" s="8">
        <f>H17-I17</f>
        <v/>
      </c>
    </row>
    <row r="18">
      <c r="A18" s="8" t="inlineStr">
        <is>
          <t>Cleric|Light Domain</t>
        </is>
      </c>
      <c r="B18" s="8" t="inlineStr">
        <is>
          <t>Cleric</t>
        </is>
      </c>
      <c r="C18" s="8" t="inlineStr">
        <is>
          <t>Light Domain</t>
        </is>
      </c>
      <c r="D18" s="8" t="inlineStr">
        <is>
          <t>Arcane Eye</t>
        </is>
      </c>
      <c r="E18" s="8" t="n">
        <v>4</v>
      </c>
      <c r="F18" s="8" t="n">
        <v>7</v>
      </c>
      <c r="G18" s="8">
        <f>IF(F18&lt;=Model!$B$24,"PAID","free with bundle")</f>
        <v/>
      </c>
      <c r="H18" s="8" t="n">
        <v>0</v>
      </c>
      <c r="I18" s="8" t="n">
        <v>0</v>
      </c>
      <c r="J18" s="8">
        <f>H18-I18</f>
        <v/>
      </c>
    </row>
    <row r="19">
      <c r="A19" s="8" t="inlineStr">
        <is>
          <t>Cleric|Light Domain</t>
        </is>
      </c>
      <c r="B19" s="8" t="inlineStr">
        <is>
          <t>Cleric</t>
        </is>
      </c>
      <c r="C19" s="8" t="inlineStr">
        <is>
          <t>Light Domain</t>
        </is>
      </c>
      <c r="D19" s="8" t="inlineStr">
        <is>
          <t>Wall of Fire</t>
        </is>
      </c>
      <c r="E19" s="8" t="n">
        <v>4</v>
      </c>
      <c r="F19" s="8" t="n">
        <v>7</v>
      </c>
      <c r="G19" s="8">
        <f>IF(F19&lt;=Model!$B$24,"PAID","free with bundle")</f>
        <v/>
      </c>
      <c r="H19" s="8" t="n">
        <v>0</v>
      </c>
      <c r="I19" s="8" t="n">
        <v>0</v>
      </c>
      <c r="J19" s="8">
        <f>H19-I19</f>
        <v/>
      </c>
    </row>
    <row r="20">
      <c r="A20" s="8" t="inlineStr">
        <is>
          <t>Cleric|Light Domain</t>
        </is>
      </c>
      <c r="B20" s="8" t="inlineStr">
        <is>
          <t>Cleric</t>
        </is>
      </c>
      <c r="C20" s="8" t="inlineStr">
        <is>
          <t>Light Domain</t>
        </is>
      </c>
      <c r="D20" s="8" t="inlineStr">
        <is>
          <t>Flame Strike</t>
        </is>
      </c>
      <c r="E20" s="8" t="n">
        <v>5</v>
      </c>
      <c r="F20" s="8" t="n">
        <v>9</v>
      </c>
      <c r="G20" s="8">
        <f>IF(F20&lt;=Model!$B$24,"PAID","free with bundle")</f>
        <v/>
      </c>
      <c r="H20" s="8" t="n">
        <v>0</v>
      </c>
      <c r="I20" s="8" t="n">
        <v>0</v>
      </c>
      <c r="J20" s="8">
        <f>H20-I20</f>
        <v/>
      </c>
    </row>
    <row r="21">
      <c r="A21" s="8" t="inlineStr">
        <is>
          <t>Cleric|Light Domain</t>
        </is>
      </c>
      <c r="B21" s="8" t="inlineStr">
        <is>
          <t>Cleric</t>
        </is>
      </c>
      <c r="C21" s="8" t="inlineStr">
        <is>
          <t>Light Domain</t>
        </is>
      </c>
      <c r="D21" s="8" t="inlineStr">
        <is>
          <t>Scrying</t>
        </is>
      </c>
      <c r="E21" s="8" t="n">
        <v>5</v>
      </c>
      <c r="F21" s="8" t="n">
        <v>9</v>
      </c>
      <c r="G21" s="8">
        <f>IF(F21&lt;=Model!$B$24,"PAID","free with bundle")</f>
        <v/>
      </c>
      <c r="H21" s="8" t="n">
        <v>0</v>
      </c>
      <c r="I21" s="8" t="n">
        <v>0</v>
      </c>
      <c r="J21" s="8">
        <f>H21-I21</f>
        <v/>
      </c>
    </row>
    <row r="22">
      <c r="A22" s="8" t="inlineStr">
        <is>
          <t>Cleric|Trickery Domain</t>
        </is>
      </c>
      <c r="B22" s="8" t="inlineStr">
        <is>
          <t>Cleric</t>
        </is>
      </c>
      <c r="C22" s="8" t="inlineStr">
        <is>
          <t>Trickery Domain</t>
        </is>
      </c>
      <c r="D22" s="8" t="inlineStr">
        <is>
          <t>Charm Person</t>
        </is>
      </c>
      <c r="E22" s="8" t="n">
        <v>1</v>
      </c>
      <c r="F22" s="8" t="n">
        <v>3</v>
      </c>
      <c r="G22" s="8">
        <f>IF(F22&lt;=Model!$B$24,"PAID","free with bundle")</f>
        <v/>
      </c>
      <c r="H22" s="8">
        <f>VLOOKUP(E22,Model!$A$27:$B$35,2,FALSE)</f>
        <v/>
      </c>
      <c r="I22" s="8">
        <f>MAX(Model!$B$22,H22-Model!$B$21)</f>
        <v/>
      </c>
      <c r="J22" s="8">
        <f>H22-I22</f>
        <v/>
      </c>
    </row>
    <row r="23">
      <c r="A23" s="8" t="inlineStr">
        <is>
          <t>Cleric|Trickery Domain</t>
        </is>
      </c>
      <c r="B23" s="8" t="inlineStr">
        <is>
          <t>Cleric</t>
        </is>
      </c>
      <c r="C23" s="8" t="inlineStr">
        <is>
          <t>Trickery Domain</t>
        </is>
      </c>
      <c r="D23" s="8" t="inlineStr">
        <is>
          <t>Disguise Self</t>
        </is>
      </c>
      <c r="E23" s="8" t="n">
        <v>1</v>
      </c>
      <c r="F23" s="8" t="n">
        <v>3</v>
      </c>
      <c r="G23" s="8">
        <f>IF(F23&lt;=Model!$B$24,"PAID","free with bundle")</f>
        <v/>
      </c>
      <c r="H23" s="8">
        <f>VLOOKUP(E23,Model!$A$27:$B$35,2,FALSE)</f>
        <v/>
      </c>
      <c r="I23" s="8">
        <f>MAX(Model!$B$22,H23-Model!$B$21)</f>
        <v/>
      </c>
      <c r="J23" s="8">
        <f>H23-I23</f>
        <v/>
      </c>
    </row>
    <row r="24">
      <c r="A24" s="8" t="inlineStr">
        <is>
          <t>Cleric|Trickery Domain</t>
        </is>
      </c>
      <c r="B24" s="8" t="inlineStr">
        <is>
          <t>Cleric</t>
        </is>
      </c>
      <c r="C24" s="8" t="inlineStr">
        <is>
          <t>Trickery Domain</t>
        </is>
      </c>
      <c r="D24" s="8" t="inlineStr">
        <is>
          <t>Invisibility</t>
        </is>
      </c>
      <c r="E24" s="8" t="n">
        <v>2</v>
      </c>
      <c r="F24" s="8" t="n">
        <v>3</v>
      </c>
      <c r="G24" s="8">
        <f>IF(F24&lt;=Model!$B$24,"PAID","free with bundle")</f>
        <v/>
      </c>
      <c r="H24" s="8">
        <f>VLOOKUP(E24,Model!$A$27:$B$35,2,FALSE)</f>
        <v/>
      </c>
      <c r="I24" s="8">
        <f>MAX(Model!$B$22,H24-Model!$B$21)</f>
        <v/>
      </c>
      <c r="J24" s="8">
        <f>H24-I24</f>
        <v/>
      </c>
    </row>
    <row r="25">
      <c r="A25" s="8" t="inlineStr">
        <is>
          <t>Cleric|Trickery Domain</t>
        </is>
      </c>
      <c r="B25" s="8" t="inlineStr">
        <is>
          <t>Cleric</t>
        </is>
      </c>
      <c r="C25" s="8" t="inlineStr">
        <is>
          <t>Trickery Domain</t>
        </is>
      </c>
      <c r="D25" s="8" t="inlineStr">
        <is>
          <t>Pass without Trace</t>
        </is>
      </c>
      <c r="E25" s="8" t="n">
        <v>2</v>
      </c>
      <c r="F25" s="8" t="n">
        <v>3</v>
      </c>
      <c r="G25" s="8">
        <f>IF(F25&lt;=Model!$B$24,"PAID","free with bundle")</f>
        <v/>
      </c>
      <c r="H25" s="8">
        <f>VLOOKUP(E25,Model!$A$27:$B$35,2,FALSE)</f>
        <v/>
      </c>
      <c r="I25" s="8">
        <f>MAX(Model!$B$22,H25-Model!$B$21)</f>
        <v/>
      </c>
      <c r="J25" s="8">
        <f>H25-I25</f>
        <v/>
      </c>
    </row>
    <row r="26">
      <c r="A26" s="8" t="inlineStr">
        <is>
          <t>Cleric|Trickery Domain</t>
        </is>
      </c>
      <c r="B26" s="8" t="inlineStr">
        <is>
          <t>Cleric</t>
        </is>
      </c>
      <c r="C26" s="8" t="inlineStr">
        <is>
          <t>Trickery Domain</t>
        </is>
      </c>
      <c r="D26" s="8" t="inlineStr">
        <is>
          <t>Hypnotic Pattern</t>
        </is>
      </c>
      <c r="E26" s="8" t="n">
        <v>3</v>
      </c>
      <c r="F26" s="8" t="n">
        <v>5</v>
      </c>
      <c r="G26" s="8">
        <f>IF(F26&lt;=Model!$B$24,"PAID","free with bundle")</f>
        <v/>
      </c>
      <c r="H26" s="8">
        <f>VLOOKUP(E26,Model!$A$27:$B$35,2,FALSE)</f>
        <v/>
      </c>
      <c r="I26" s="8">
        <f>MAX(Model!$B$22,H26-Model!$B$21)</f>
        <v/>
      </c>
      <c r="J26" s="8">
        <f>H26-I26</f>
        <v/>
      </c>
    </row>
    <row r="27">
      <c r="A27" s="8" t="inlineStr">
        <is>
          <t>Cleric|Trickery Domain</t>
        </is>
      </c>
      <c r="B27" s="8" t="inlineStr">
        <is>
          <t>Cleric</t>
        </is>
      </c>
      <c r="C27" s="8" t="inlineStr">
        <is>
          <t>Trickery Domain</t>
        </is>
      </c>
      <c r="D27" s="8" t="inlineStr">
        <is>
          <t>Nondetection</t>
        </is>
      </c>
      <c r="E27" s="8" t="n">
        <v>3</v>
      </c>
      <c r="F27" s="8" t="n">
        <v>5</v>
      </c>
      <c r="G27" s="8">
        <f>IF(F27&lt;=Model!$B$24,"PAID","free with bundle")</f>
        <v/>
      </c>
      <c r="H27" s="8">
        <f>VLOOKUP(E27,Model!$A$27:$B$35,2,FALSE)</f>
        <v/>
      </c>
      <c r="I27" s="8">
        <f>MAX(Model!$B$22,H27-Model!$B$21)</f>
        <v/>
      </c>
      <c r="J27" s="8">
        <f>H27-I27</f>
        <v/>
      </c>
    </row>
    <row r="28">
      <c r="A28" s="8" t="inlineStr">
        <is>
          <t>Cleric|Trickery Domain</t>
        </is>
      </c>
      <c r="B28" s="8" t="inlineStr">
        <is>
          <t>Cleric</t>
        </is>
      </c>
      <c r="C28" s="8" t="inlineStr">
        <is>
          <t>Trickery Domain</t>
        </is>
      </c>
      <c r="D28" s="8" t="inlineStr">
        <is>
          <t>Confusion</t>
        </is>
      </c>
      <c r="E28" s="8" t="n">
        <v>4</v>
      </c>
      <c r="F28" s="8" t="n">
        <v>7</v>
      </c>
      <c r="G28" s="8">
        <f>IF(F28&lt;=Model!$B$24,"PAID","free with bundle")</f>
        <v/>
      </c>
      <c r="H28" s="8" t="n">
        <v>0</v>
      </c>
      <c r="I28" s="8" t="n">
        <v>0</v>
      </c>
      <c r="J28" s="8">
        <f>H28-I28</f>
        <v/>
      </c>
    </row>
    <row r="29">
      <c r="A29" s="8" t="inlineStr">
        <is>
          <t>Cleric|Trickery Domain</t>
        </is>
      </c>
      <c r="B29" s="8" t="inlineStr">
        <is>
          <t>Cleric</t>
        </is>
      </c>
      <c r="C29" s="8" t="inlineStr">
        <is>
          <t>Trickery Domain</t>
        </is>
      </c>
      <c r="D29" s="8" t="inlineStr">
        <is>
          <t>Dimension Door</t>
        </is>
      </c>
      <c r="E29" s="8" t="n">
        <v>4</v>
      </c>
      <c r="F29" s="8" t="n">
        <v>7</v>
      </c>
      <c r="G29" s="8">
        <f>IF(F29&lt;=Model!$B$24,"PAID","free with bundle")</f>
        <v/>
      </c>
      <c r="H29" s="8" t="n">
        <v>0</v>
      </c>
      <c r="I29" s="8" t="n">
        <v>0</v>
      </c>
      <c r="J29" s="8">
        <f>H29-I29</f>
        <v/>
      </c>
    </row>
    <row r="30">
      <c r="A30" s="8" t="inlineStr">
        <is>
          <t>Cleric|Trickery Domain</t>
        </is>
      </c>
      <c r="B30" s="8" t="inlineStr">
        <is>
          <t>Cleric</t>
        </is>
      </c>
      <c r="C30" s="8" t="inlineStr">
        <is>
          <t>Trickery Domain</t>
        </is>
      </c>
      <c r="D30" s="8" t="inlineStr">
        <is>
          <t>Dominate Person</t>
        </is>
      </c>
      <c r="E30" s="8" t="n">
        <v>5</v>
      </c>
      <c r="F30" s="8" t="n">
        <v>9</v>
      </c>
      <c r="G30" s="8">
        <f>IF(F30&lt;=Model!$B$24,"PAID","free with bundle")</f>
        <v/>
      </c>
      <c r="H30" s="8" t="n">
        <v>0</v>
      </c>
      <c r="I30" s="8" t="n">
        <v>0</v>
      </c>
      <c r="J30" s="8">
        <f>H30-I30</f>
        <v/>
      </c>
    </row>
    <row r="31">
      <c r="A31" s="8" t="inlineStr">
        <is>
          <t>Cleric|Trickery Domain</t>
        </is>
      </c>
      <c r="B31" s="8" t="inlineStr">
        <is>
          <t>Cleric</t>
        </is>
      </c>
      <c r="C31" s="8" t="inlineStr">
        <is>
          <t>Trickery Domain</t>
        </is>
      </c>
      <c r="D31" s="8" t="inlineStr">
        <is>
          <t>Modify Memory</t>
        </is>
      </c>
      <c r="E31" s="8" t="n">
        <v>5</v>
      </c>
      <c r="F31" s="8" t="n">
        <v>9</v>
      </c>
      <c r="G31" s="8">
        <f>IF(F31&lt;=Model!$B$24,"PAID","free with bundle")</f>
        <v/>
      </c>
      <c r="H31" s="8" t="n">
        <v>0</v>
      </c>
      <c r="I31" s="8" t="n">
        <v>0</v>
      </c>
      <c r="J31" s="8">
        <f>H31-I31</f>
        <v/>
      </c>
    </row>
    <row r="32">
      <c r="A32" s="8" t="inlineStr">
        <is>
          <t>Cleric|War Domain</t>
        </is>
      </c>
      <c r="B32" s="8" t="inlineStr">
        <is>
          <t>Cleric</t>
        </is>
      </c>
      <c r="C32" s="8" t="inlineStr">
        <is>
          <t>War Domain</t>
        </is>
      </c>
      <c r="D32" s="8" t="inlineStr">
        <is>
          <t>Guiding Bolt</t>
        </is>
      </c>
      <c r="E32" s="8" t="n">
        <v>1</v>
      </c>
      <c r="F32" s="8" t="n">
        <v>3</v>
      </c>
      <c r="G32" s="8">
        <f>IF(F32&lt;=Model!$B$24,"PAID","free with bundle")</f>
        <v/>
      </c>
      <c r="H32" s="8">
        <f>VLOOKUP(E32,Model!$A$27:$B$35,2,FALSE)</f>
        <v/>
      </c>
      <c r="I32" s="8">
        <f>MAX(Model!$B$22,H32-Model!$B$21)</f>
        <v/>
      </c>
      <c r="J32" s="8">
        <f>H32-I32</f>
        <v/>
      </c>
    </row>
    <row r="33">
      <c r="A33" s="8" t="inlineStr">
        <is>
          <t>Cleric|War Domain</t>
        </is>
      </c>
      <c r="B33" s="8" t="inlineStr">
        <is>
          <t>Cleric</t>
        </is>
      </c>
      <c r="C33" s="8" t="inlineStr">
        <is>
          <t>War Domain</t>
        </is>
      </c>
      <c r="D33" s="8" t="inlineStr">
        <is>
          <t>Shield of Faith</t>
        </is>
      </c>
      <c r="E33" s="8" t="n">
        <v>1</v>
      </c>
      <c r="F33" s="8" t="n">
        <v>3</v>
      </c>
      <c r="G33" s="8">
        <f>IF(F33&lt;=Model!$B$24,"PAID","free with bundle")</f>
        <v/>
      </c>
      <c r="H33" s="8">
        <f>VLOOKUP(E33,Model!$A$27:$B$35,2,FALSE)</f>
        <v/>
      </c>
      <c r="I33" s="8">
        <f>MAX(Model!$B$22,H33-Model!$B$21)</f>
        <v/>
      </c>
      <c r="J33" s="8">
        <f>H33-I33</f>
        <v/>
      </c>
    </row>
    <row r="34">
      <c r="A34" s="8" t="inlineStr">
        <is>
          <t>Cleric|War Domain</t>
        </is>
      </c>
      <c r="B34" s="8" t="inlineStr">
        <is>
          <t>Cleric</t>
        </is>
      </c>
      <c r="C34" s="8" t="inlineStr">
        <is>
          <t>War Domain</t>
        </is>
      </c>
      <c r="D34" s="8" t="inlineStr">
        <is>
          <t>Magic Weapon</t>
        </is>
      </c>
      <c r="E34" s="8" t="n">
        <v>2</v>
      </c>
      <c r="F34" s="8" t="n">
        <v>3</v>
      </c>
      <c r="G34" s="8">
        <f>IF(F34&lt;=Model!$B$24,"PAID","free with bundle")</f>
        <v/>
      </c>
      <c r="H34" s="8">
        <f>VLOOKUP(E34,Model!$A$27:$B$35,2,FALSE)</f>
        <v/>
      </c>
      <c r="I34" s="8">
        <f>MAX(Model!$B$22,H34-Model!$B$21)</f>
        <v/>
      </c>
      <c r="J34" s="8">
        <f>H34-I34</f>
        <v/>
      </c>
    </row>
    <row r="35">
      <c r="A35" s="8" t="inlineStr">
        <is>
          <t>Cleric|War Domain</t>
        </is>
      </c>
      <c r="B35" s="8" t="inlineStr">
        <is>
          <t>Cleric</t>
        </is>
      </c>
      <c r="C35" s="8" t="inlineStr">
        <is>
          <t>War Domain</t>
        </is>
      </c>
      <c r="D35" s="8" t="inlineStr">
        <is>
          <t>Spiritual Weapon</t>
        </is>
      </c>
      <c r="E35" s="8" t="n">
        <v>2</v>
      </c>
      <c r="F35" s="8" t="n">
        <v>3</v>
      </c>
      <c r="G35" s="8">
        <f>IF(F35&lt;=Model!$B$24,"PAID","free with bundle")</f>
        <v/>
      </c>
      <c r="H35" s="8">
        <f>VLOOKUP(E35,Model!$A$27:$B$35,2,FALSE)</f>
        <v/>
      </c>
      <c r="I35" s="8">
        <f>MAX(Model!$B$22,H35-Model!$B$21)</f>
        <v/>
      </c>
      <c r="J35" s="8">
        <f>H35-I35</f>
        <v/>
      </c>
    </row>
    <row r="36">
      <c r="A36" s="8" t="inlineStr">
        <is>
          <t>Cleric|War Domain</t>
        </is>
      </c>
      <c r="B36" s="8" t="inlineStr">
        <is>
          <t>Cleric</t>
        </is>
      </c>
      <c r="C36" s="8" t="inlineStr">
        <is>
          <t>War Domain</t>
        </is>
      </c>
      <c r="D36" s="8" t="inlineStr">
        <is>
          <t>Crusader's Mantle</t>
        </is>
      </c>
      <c r="E36" s="8" t="n">
        <v>3</v>
      </c>
      <c r="F36" s="8" t="n">
        <v>5</v>
      </c>
      <c r="G36" s="8">
        <f>IF(F36&lt;=Model!$B$24,"PAID","free with bundle")</f>
        <v/>
      </c>
      <c r="H36" s="8">
        <f>VLOOKUP(E36,Model!$A$27:$B$35,2,FALSE)</f>
        <v/>
      </c>
      <c r="I36" s="8">
        <f>MAX(Model!$B$22,H36-Model!$B$21)</f>
        <v/>
      </c>
      <c r="J36" s="8">
        <f>H36-I36</f>
        <v/>
      </c>
    </row>
    <row r="37">
      <c r="A37" s="8" t="inlineStr">
        <is>
          <t>Cleric|War Domain</t>
        </is>
      </c>
      <c r="B37" s="8" t="inlineStr">
        <is>
          <t>Cleric</t>
        </is>
      </c>
      <c r="C37" s="8" t="inlineStr">
        <is>
          <t>War Domain</t>
        </is>
      </c>
      <c r="D37" s="8" t="inlineStr">
        <is>
          <t>Spirit Guardians</t>
        </is>
      </c>
      <c r="E37" s="8" t="n">
        <v>3</v>
      </c>
      <c r="F37" s="8" t="n">
        <v>5</v>
      </c>
      <c r="G37" s="8">
        <f>IF(F37&lt;=Model!$B$24,"PAID","free with bundle")</f>
        <v/>
      </c>
      <c r="H37" s="8">
        <f>VLOOKUP(E37,Model!$A$27:$B$35,2,FALSE)</f>
        <v/>
      </c>
      <c r="I37" s="8">
        <f>MAX(Model!$B$22,H37-Model!$B$21)</f>
        <v/>
      </c>
      <c r="J37" s="8">
        <f>H37-I37</f>
        <v/>
      </c>
    </row>
    <row r="38">
      <c r="A38" s="8" t="inlineStr">
        <is>
          <t>Cleric|War Domain</t>
        </is>
      </c>
      <c r="B38" s="8" t="inlineStr">
        <is>
          <t>Cleric</t>
        </is>
      </c>
      <c r="C38" s="8" t="inlineStr">
        <is>
          <t>War Domain</t>
        </is>
      </c>
      <c r="D38" s="8" t="inlineStr">
        <is>
          <t>Fire Shield</t>
        </is>
      </c>
      <c r="E38" s="8" t="n">
        <v>4</v>
      </c>
      <c r="F38" s="8" t="n">
        <v>7</v>
      </c>
      <c r="G38" s="8">
        <f>IF(F38&lt;=Model!$B$24,"PAID","free with bundle")</f>
        <v/>
      </c>
      <c r="H38" s="8" t="n">
        <v>0</v>
      </c>
      <c r="I38" s="8" t="n">
        <v>0</v>
      </c>
      <c r="J38" s="8">
        <f>H38-I38</f>
        <v/>
      </c>
    </row>
    <row r="39">
      <c r="A39" s="8" t="inlineStr">
        <is>
          <t>Cleric|War Domain</t>
        </is>
      </c>
      <c r="B39" s="8" t="inlineStr">
        <is>
          <t>Cleric</t>
        </is>
      </c>
      <c r="C39" s="8" t="inlineStr">
        <is>
          <t>War Domain</t>
        </is>
      </c>
      <c r="D39" s="8" t="inlineStr">
        <is>
          <t>Freedom of Movement</t>
        </is>
      </c>
      <c r="E39" s="8" t="n">
        <v>4</v>
      </c>
      <c r="F39" s="8" t="n">
        <v>7</v>
      </c>
      <c r="G39" s="8">
        <f>IF(F39&lt;=Model!$B$24,"PAID","free with bundle")</f>
        <v/>
      </c>
      <c r="H39" s="8" t="n">
        <v>0</v>
      </c>
      <c r="I39" s="8" t="n">
        <v>0</v>
      </c>
      <c r="J39" s="8">
        <f>H39-I39</f>
        <v/>
      </c>
    </row>
    <row r="40">
      <c r="A40" s="8" t="inlineStr">
        <is>
          <t>Cleric|War Domain</t>
        </is>
      </c>
      <c r="B40" s="8" t="inlineStr">
        <is>
          <t>Cleric</t>
        </is>
      </c>
      <c r="C40" s="8" t="inlineStr">
        <is>
          <t>War Domain</t>
        </is>
      </c>
      <c r="D40" s="8" t="inlineStr">
        <is>
          <t>Hold Monster</t>
        </is>
      </c>
      <c r="E40" s="8" t="n">
        <v>5</v>
      </c>
      <c r="F40" s="8" t="n">
        <v>9</v>
      </c>
      <c r="G40" s="8">
        <f>IF(F40&lt;=Model!$B$24,"PAID","free with bundle")</f>
        <v/>
      </c>
      <c r="H40" s="8" t="n">
        <v>0</v>
      </c>
      <c r="I40" s="8" t="n">
        <v>0</v>
      </c>
      <c r="J40" s="8">
        <f>H40-I40</f>
        <v/>
      </c>
    </row>
    <row r="41">
      <c r="A41" s="8" t="inlineStr">
        <is>
          <t>Cleric|War Domain</t>
        </is>
      </c>
      <c r="B41" s="8" t="inlineStr">
        <is>
          <t>Cleric</t>
        </is>
      </c>
      <c r="C41" s="8" t="inlineStr">
        <is>
          <t>War Domain</t>
        </is>
      </c>
      <c r="D41" s="8" t="inlineStr">
        <is>
          <t>Steel Wind Strike</t>
        </is>
      </c>
      <c r="E41" s="8" t="n">
        <v>5</v>
      </c>
      <c r="F41" s="8" t="n">
        <v>9</v>
      </c>
      <c r="G41" s="8">
        <f>IF(F41&lt;=Model!$B$24,"PAID","free with bundle")</f>
        <v/>
      </c>
      <c r="H41" s="8" t="n">
        <v>0</v>
      </c>
      <c r="I41" s="8" t="n">
        <v>0</v>
      </c>
      <c r="J41" s="8">
        <f>H41-I41</f>
        <v/>
      </c>
    </row>
    <row r="42">
      <c r="A42" s="8" t="inlineStr">
        <is>
          <t>Druid|Circle of the Land</t>
        </is>
      </c>
      <c r="B42" s="8" t="inlineStr">
        <is>
          <t>Druid</t>
        </is>
      </c>
      <c r="C42" s="8" t="inlineStr">
        <is>
          <t>Circle of the Land</t>
        </is>
      </c>
      <c r="D42" s="8" t="inlineStr">
        <is>
          <t>Blur</t>
        </is>
      </c>
      <c r="E42" s="8" t="n">
        <v>2</v>
      </c>
      <c r="F42" s="8" t="n">
        <v>3</v>
      </c>
      <c r="G42" s="8">
        <f>IF(F42&lt;=Model!$B$24,"PAID","free with bundle")</f>
        <v/>
      </c>
      <c r="H42" s="8">
        <f>VLOOKUP(E42,Model!$A$27:$B$35,2,FALSE)</f>
        <v/>
      </c>
      <c r="I42" s="8">
        <f>MAX(Model!$B$22,H42-Model!$B$21)</f>
        <v/>
      </c>
      <c r="J42" s="8">
        <f>H42-I42</f>
        <v/>
      </c>
    </row>
    <row r="43">
      <c r="A43" s="8" t="inlineStr">
        <is>
          <t>Druid|Circle of the Land</t>
        </is>
      </c>
      <c r="B43" s="8" t="inlineStr">
        <is>
          <t>Druid</t>
        </is>
      </c>
      <c r="C43" s="8" t="inlineStr">
        <is>
          <t>Circle of the Land</t>
        </is>
      </c>
      <c r="D43" s="8" t="inlineStr">
        <is>
          <t>Burning Hands</t>
        </is>
      </c>
      <c r="E43" s="8" t="n">
        <v>1</v>
      </c>
      <c r="F43" s="8" t="n">
        <v>3</v>
      </c>
      <c r="G43" s="8">
        <f>IF(F43&lt;=Model!$B$24,"PAID","free with bundle")</f>
        <v/>
      </c>
      <c r="H43" s="8">
        <f>VLOOKUP(E43,Model!$A$27:$B$35,2,FALSE)</f>
        <v/>
      </c>
      <c r="I43" s="8">
        <f>MAX(Model!$B$22,H43-Model!$B$21)</f>
        <v/>
      </c>
      <c r="J43" s="8">
        <f>H43-I43</f>
        <v/>
      </c>
    </row>
    <row r="44">
      <c r="A44" s="8" t="inlineStr">
        <is>
          <t>Druid|Circle of the Land</t>
        </is>
      </c>
      <c r="B44" s="8" t="inlineStr">
        <is>
          <t>Druid</t>
        </is>
      </c>
      <c r="C44" s="8" t="inlineStr">
        <is>
          <t>Circle of the Land</t>
        </is>
      </c>
      <c r="D44" s="8" t="inlineStr">
        <is>
          <t>Fire Bolt</t>
        </is>
      </c>
      <c r="E44" s="8" t="n">
        <v>0</v>
      </c>
      <c r="F44" s="8" t="n">
        <v>3</v>
      </c>
      <c r="G44" s="8">
        <f>IF(F44&lt;=Model!$B$24,"PAID","free with bundle")</f>
        <v/>
      </c>
      <c r="H44" s="8">
        <f>Model!$B$23</f>
        <v/>
      </c>
      <c r="I44" s="8">
        <f>Model!$B$23</f>
        <v/>
      </c>
      <c r="J44" s="8">
        <f>H44-I44</f>
        <v/>
      </c>
    </row>
    <row r="45">
      <c r="A45" s="8" t="inlineStr">
        <is>
          <t>Druid|Circle of the Land</t>
        </is>
      </c>
      <c r="B45" s="8" t="inlineStr">
        <is>
          <t>Druid</t>
        </is>
      </c>
      <c r="C45" s="8" t="inlineStr">
        <is>
          <t>Circle of the Land</t>
        </is>
      </c>
      <c r="D45" s="8" t="inlineStr">
        <is>
          <t>Fireball</t>
        </is>
      </c>
      <c r="E45" s="8" t="n">
        <v>3</v>
      </c>
      <c r="F45" s="8" t="n">
        <v>5</v>
      </c>
      <c r="G45" s="8">
        <f>IF(F45&lt;=Model!$B$24,"PAID","free with bundle")</f>
        <v/>
      </c>
      <c r="H45" s="8">
        <f>VLOOKUP(E45,Model!$A$27:$B$35,2,FALSE)</f>
        <v/>
      </c>
      <c r="I45" s="8">
        <f>MAX(Model!$B$22,H45-Model!$B$21)</f>
        <v/>
      </c>
      <c r="J45" s="8">
        <f>H45-I45</f>
        <v/>
      </c>
    </row>
    <row r="46">
      <c r="A46" s="8" t="inlineStr">
        <is>
          <t>Druid|Circle of the Land</t>
        </is>
      </c>
      <c r="B46" s="8" t="inlineStr">
        <is>
          <t>Druid</t>
        </is>
      </c>
      <c r="C46" s="8" t="inlineStr">
        <is>
          <t>Circle of the Land</t>
        </is>
      </c>
      <c r="D46" s="8" t="inlineStr">
        <is>
          <t>Blight</t>
        </is>
      </c>
      <c r="E46" s="8" t="n">
        <v>4</v>
      </c>
      <c r="F46" s="8" t="n">
        <v>7</v>
      </c>
      <c r="G46" s="8">
        <f>IF(F46&lt;=Model!$B$24,"PAID","free with bundle")</f>
        <v/>
      </c>
      <c r="H46" s="8" t="n">
        <v>0</v>
      </c>
      <c r="I46" s="8" t="n">
        <v>0</v>
      </c>
      <c r="J46" s="8">
        <f>H46-I46</f>
        <v/>
      </c>
    </row>
    <row r="47">
      <c r="A47" s="8" t="inlineStr">
        <is>
          <t>Druid|Circle of the Land</t>
        </is>
      </c>
      <c r="B47" s="8" t="inlineStr">
        <is>
          <t>Druid</t>
        </is>
      </c>
      <c r="C47" s="8" t="inlineStr">
        <is>
          <t>Circle of the Land</t>
        </is>
      </c>
      <c r="D47" s="8" t="inlineStr">
        <is>
          <t>Wall of Stone</t>
        </is>
      </c>
      <c r="E47" s="8" t="n">
        <v>5</v>
      </c>
      <c r="F47" s="8" t="n">
        <v>9</v>
      </c>
      <c r="G47" s="8">
        <f>IF(F47&lt;=Model!$B$24,"PAID","free with bundle")</f>
        <v/>
      </c>
      <c r="H47" s="8" t="n">
        <v>0</v>
      </c>
      <c r="I47" s="8" t="n">
        <v>0</v>
      </c>
      <c r="J47" s="8">
        <f>H47-I47</f>
        <v/>
      </c>
    </row>
    <row r="48">
      <c r="A48" s="8" t="inlineStr">
        <is>
          <t>Druid|Circle of the Moon</t>
        </is>
      </c>
      <c r="B48" s="8" t="inlineStr">
        <is>
          <t>Druid</t>
        </is>
      </c>
      <c r="C48" s="8" t="inlineStr">
        <is>
          <t>Circle of the Moon</t>
        </is>
      </c>
      <c r="D48" s="8" t="inlineStr">
        <is>
          <t>Cure Wounds</t>
        </is>
      </c>
      <c r="E48" s="8" t="n">
        <v>1</v>
      </c>
      <c r="F48" s="8" t="n">
        <v>3</v>
      </c>
      <c r="G48" s="8">
        <f>IF(F48&lt;=Model!$B$24,"PAID","free with bundle")</f>
        <v/>
      </c>
      <c r="H48" s="8">
        <f>VLOOKUP(E48,Model!$A$27:$B$35,2,FALSE)</f>
        <v/>
      </c>
      <c r="I48" s="8">
        <f>MAX(Model!$B$22,H48-Model!$B$21)</f>
        <v/>
      </c>
      <c r="J48" s="8">
        <f>H48-I48</f>
        <v/>
      </c>
    </row>
    <row r="49">
      <c r="A49" s="8" t="inlineStr">
        <is>
          <t>Druid|Circle of the Moon</t>
        </is>
      </c>
      <c r="B49" s="8" t="inlineStr">
        <is>
          <t>Druid</t>
        </is>
      </c>
      <c r="C49" s="8" t="inlineStr">
        <is>
          <t>Circle of the Moon</t>
        </is>
      </c>
      <c r="D49" s="8" t="inlineStr">
        <is>
          <t>Moonbeam</t>
        </is>
      </c>
      <c r="E49" s="8" t="n">
        <v>2</v>
      </c>
      <c r="F49" s="8" t="n">
        <v>3</v>
      </c>
      <c r="G49" s="8">
        <f>IF(F49&lt;=Model!$B$24,"PAID","free with bundle")</f>
        <v/>
      </c>
      <c r="H49" s="8">
        <f>VLOOKUP(E49,Model!$A$27:$B$35,2,FALSE)</f>
        <v/>
      </c>
      <c r="I49" s="8">
        <f>MAX(Model!$B$22,H49-Model!$B$21)</f>
        <v/>
      </c>
      <c r="J49" s="8">
        <f>H49-I49</f>
        <v/>
      </c>
    </row>
    <row r="50">
      <c r="A50" s="8" t="inlineStr">
        <is>
          <t>Druid|Circle of the Moon</t>
        </is>
      </c>
      <c r="B50" s="8" t="inlineStr">
        <is>
          <t>Druid</t>
        </is>
      </c>
      <c r="C50" s="8" t="inlineStr">
        <is>
          <t>Circle of the Moon</t>
        </is>
      </c>
      <c r="D50" s="8" t="inlineStr">
        <is>
          <t>Starry Wisp</t>
        </is>
      </c>
      <c r="E50" s="8" t="n">
        <v>0</v>
      </c>
      <c r="F50" s="8" t="n">
        <v>3</v>
      </c>
      <c r="G50" s="8">
        <f>IF(F50&lt;=Model!$B$24,"PAID","free with bundle")</f>
        <v/>
      </c>
      <c r="H50" s="8">
        <f>Model!$B$23</f>
        <v/>
      </c>
      <c r="I50" s="8">
        <f>Model!$B$23</f>
        <v/>
      </c>
      <c r="J50" s="8">
        <f>H50-I50</f>
        <v/>
      </c>
    </row>
    <row r="51">
      <c r="A51" s="8" t="inlineStr">
        <is>
          <t>Druid|Circle of the Moon</t>
        </is>
      </c>
      <c r="B51" s="8" t="inlineStr">
        <is>
          <t>Druid</t>
        </is>
      </c>
      <c r="C51" s="8" t="inlineStr">
        <is>
          <t>Circle of the Moon</t>
        </is>
      </c>
      <c r="D51" s="8" t="inlineStr">
        <is>
          <t>Conjure Animals</t>
        </is>
      </c>
      <c r="E51" s="8" t="n">
        <v>3</v>
      </c>
      <c r="F51" s="8" t="n">
        <v>5</v>
      </c>
      <c r="G51" s="8">
        <f>IF(F51&lt;=Model!$B$24,"PAID","free with bundle")</f>
        <v/>
      </c>
      <c r="H51" s="8">
        <f>VLOOKUP(E51,Model!$A$27:$B$35,2,FALSE)</f>
        <v/>
      </c>
      <c r="I51" s="8">
        <f>MAX(Model!$B$22,H51-Model!$B$21)</f>
        <v/>
      </c>
      <c r="J51" s="8">
        <f>H51-I51</f>
        <v/>
      </c>
    </row>
    <row r="52">
      <c r="A52" s="8" t="inlineStr">
        <is>
          <t>Druid|Circle of the Moon</t>
        </is>
      </c>
      <c r="B52" s="8" t="inlineStr">
        <is>
          <t>Druid</t>
        </is>
      </c>
      <c r="C52" s="8" t="inlineStr">
        <is>
          <t>Circle of the Moon</t>
        </is>
      </c>
      <c r="D52" s="8" t="inlineStr">
        <is>
          <t>Fount of Moonlight</t>
        </is>
      </c>
      <c r="E52" s="8" t="n">
        <v>4</v>
      </c>
      <c r="F52" s="8" t="n">
        <v>7</v>
      </c>
      <c r="G52" s="8">
        <f>IF(F52&lt;=Model!$B$24,"PAID","free with bundle")</f>
        <v/>
      </c>
      <c r="H52" s="8" t="n">
        <v>0</v>
      </c>
      <c r="I52" s="8" t="n">
        <v>0</v>
      </c>
      <c r="J52" s="8">
        <f>H52-I52</f>
        <v/>
      </c>
    </row>
    <row r="53">
      <c r="A53" s="8" t="inlineStr">
        <is>
          <t>Druid|Circle of the Moon</t>
        </is>
      </c>
      <c r="B53" s="8" t="inlineStr">
        <is>
          <t>Druid</t>
        </is>
      </c>
      <c r="C53" s="8" t="inlineStr">
        <is>
          <t>Circle of the Moon</t>
        </is>
      </c>
      <c r="D53" s="8" t="inlineStr">
        <is>
          <t>Mass Cure Wounds</t>
        </is>
      </c>
      <c r="E53" s="8" t="n">
        <v>5</v>
      </c>
      <c r="F53" s="8" t="n">
        <v>9</v>
      </c>
      <c r="G53" s="8">
        <f>IF(F53&lt;=Model!$B$24,"PAID","free with bundle")</f>
        <v/>
      </c>
      <c r="H53" s="8" t="n">
        <v>0</v>
      </c>
      <c r="I53" s="8" t="n">
        <v>0</v>
      </c>
      <c r="J53" s="8">
        <f>H53-I53</f>
        <v/>
      </c>
    </row>
    <row r="54">
      <c r="A54" s="8" t="inlineStr">
        <is>
          <t>Druid|Circle of the Sea</t>
        </is>
      </c>
      <c r="B54" s="8" t="inlineStr">
        <is>
          <t>Druid</t>
        </is>
      </c>
      <c r="C54" s="8" t="inlineStr">
        <is>
          <t>Circle of the Sea</t>
        </is>
      </c>
      <c r="D54" s="8" t="inlineStr">
        <is>
          <t>Fog Cloud</t>
        </is>
      </c>
      <c r="E54" s="8" t="n">
        <v>1</v>
      </c>
      <c r="F54" s="8" t="n">
        <v>3</v>
      </c>
      <c r="G54" s="8">
        <f>IF(F54&lt;=Model!$B$24,"PAID","free with bundle")</f>
        <v/>
      </c>
      <c r="H54" s="8">
        <f>VLOOKUP(E54,Model!$A$27:$B$35,2,FALSE)</f>
        <v/>
      </c>
      <c r="I54" s="8">
        <f>MAX(Model!$B$22,H54-Model!$B$21)</f>
        <v/>
      </c>
      <c r="J54" s="8">
        <f>H54-I54</f>
        <v/>
      </c>
    </row>
    <row r="55">
      <c r="A55" s="8" t="inlineStr">
        <is>
          <t>Druid|Circle of the Sea</t>
        </is>
      </c>
      <c r="B55" s="8" t="inlineStr">
        <is>
          <t>Druid</t>
        </is>
      </c>
      <c r="C55" s="8" t="inlineStr">
        <is>
          <t>Circle of the Sea</t>
        </is>
      </c>
      <c r="D55" s="8" t="inlineStr">
        <is>
          <t>Gust of Wind</t>
        </is>
      </c>
      <c r="E55" s="8" t="n">
        <v>2</v>
      </c>
      <c r="F55" s="8" t="n">
        <v>3</v>
      </c>
      <c r="G55" s="8">
        <f>IF(F55&lt;=Model!$B$24,"PAID","free with bundle")</f>
        <v/>
      </c>
      <c r="H55" s="8">
        <f>VLOOKUP(E55,Model!$A$27:$B$35,2,FALSE)</f>
        <v/>
      </c>
      <c r="I55" s="8">
        <f>MAX(Model!$B$22,H55-Model!$B$21)</f>
        <v/>
      </c>
      <c r="J55" s="8">
        <f>H55-I55</f>
        <v/>
      </c>
    </row>
    <row r="56">
      <c r="A56" s="8" t="inlineStr">
        <is>
          <t>Druid|Circle of the Sea</t>
        </is>
      </c>
      <c r="B56" s="8" t="inlineStr">
        <is>
          <t>Druid</t>
        </is>
      </c>
      <c r="C56" s="8" t="inlineStr">
        <is>
          <t>Circle of the Sea</t>
        </is>
      </c>
      <c r="D56" s="8" t="inlineStr">
        <is>
          <t>Ray of Frost</t>
        </is>
      </c>
      <c r="E56" s="8" t="n">
        <v>0</v>
      </c>
      <c r="F56" s="8" t="n">
        <v>3</v>
      </c>
      <c r="G56" s="8">
        <f>IF(F56&lt;=Model!$B$24,"PAID","free with bundle")</f>
        <v/>
      </c>
      <c r="H56" s="8">
        <f>Model!$B$23</f>
        <v/>
      </c>
      <c r="I56" s="8">
        <f>Model!$B$23</f>
        <v/>
      </c>
      <c r="J56" s="8">
        <f>H56-I56</f>
        <v/>
      </c>
    </row>
    <row r="57">
      <c r="A57" s="8" t="inlineStr">
        <is>
          <t>Druid|Circle of the Sea</t>
        </is>
      </c>
      <c r="B57" s="8" t="inlineStr">
        <is>
          <t>Druid</t>
        </is>
      </c>
      <c r="C57" s="8" t="inlineStr">
        <is>
          <t>Circle of the Sea</t>
        </is>
      </c>
      <c r="D57" s="8" t="inlineStr">
        <is>
          <t>Shatter</t>
        </is>
      </c>
      <c r="E57" s="8" t="n">
        <v>2</v>
      </c>
      <c r="F57" s="8" t="n">
        <v>3</v>
      </c>
      <c r="G57" s="8">
        <f>IF(F57&lt;=Model!$B$24,"PAID","free with bundle")</f>
        <v/>
      </c>
      <c r="H57" s="8">
        <f>VLOOKUP(E57,Model!$A$27:$B$35,2,FALSE)</f>
        <v/>
      </c>
      <c r="I57" s="8">
        <f>MAX(Model!$B$22,H57-Model!$B$21)</f>
        <v/>
      </c>
      <c r="J57" s="8">
        <f>H57-I57</f>
        <v/>
      </c>
    </row>
    <row r="58">
      <c r="A58" s="8" t="inlineStr">
        <is>
          <t>Druid|Circle of the Sea</t>
        </is>
      </c>
      <c r="B58" s="8" t="inlineStr">
        <is>
          <t>Druid</t>
        </is>
      </c>
      <c r="C58" s="8" t="inlineStr">
        <is>
          <t>Circle of the Sea</t>
        </is>
      </c>
      <c r="D58" s="8" t="inlineStr">
        <is>
          <t>Thunderwave</t>
        </is>
      </c>
      <c r="E58" s="8" t="n">
        <v>1</v>
      </c>
      <c r="F58" s="8" t="n">
        <v>3</v>
      </c>
      <c r="G58" s="8">
        <f>IF(F58&lt;=Model!$B$24,"PAID","free with bundle")</f>
        <v/>
      </c>
      <c r="H58" s="8">
        <f>VLOOKUP(E58,Model!$A$27:$B$35,2,FALSE)</f>
        <v/>
      </c>
      <c r="I58" s="8">
        <f>MAX(Model!$B$22,H58-Model!$B$21)</f>
        <v/>
      </c>
      <c r="J58" s="8">
        <f>H58-I58</f>
        <v/>
      </c>
    </row>
    <row r="59">
      <c r="A59" s="8" t="inlineStr">
        <is>
          <t>Druid|Circle of the Sea</t>
        </is>
      </c>
      <c r="B59" s="8" t="inlineStr">
        <is>
          <t>Druid</t>
        </is>
      </c>
      <c r="C59" s="8" t="inlineStr">
        <is>
          <t>Circle of the Sea</t>
        </is>
      </c>
      <c r="D59" s="8" t="inlineStr">
        <is>
          <t>Lightning Bolt</t>
        </is>
      </c>
      <c r="E59" s="8" t="n">
        <v>3</v>
      </c>
      <c r="F59" s="8" t="n">
        <v>5</v>
      </c>
      <c r="G59" s="8">
        <f>IF(F59&lt;=Model!$B$24,"PAID","free with bundle")</f>
        <v/>
      </c>
      <c r="H59" s="8">
        <f>VLOOKUP(E59,Model!$A$27:$B$35,2,FALSE)</f>
        <v/>
      </c>
      <c r="I59" s="8">
        <f>MAX(Model!$B$22,H59-Model!$B$21)</f>
        <v/>
      </c>
      <c r="J59" s="8">
        <f>H59-I59</f>
        <v/>
      </c>
    </row>
    <row r="60">
      <c r="A60" s="8" t="inlineStr">
        <is>
          <t>Druid|Circle of the Sea</t>
        </is>
      </c>
      <c r="B60" s="8" t="inlineStr">
        <is>
          <t>Druid</t>
        </is>
      </c>
      <c r="C60" s="8" t="inlineStr">
        <is>
          <t>Circle of the Sea</t>
        </is>
      </c>
      <c r="D60" s="8" t="inlineStr">
        <is>
          <t>Water Breathing</t>
        </is>
      </c>
      <c r="E60" s="8" t="n">
        <v>3</v>
      </c>
      <c r="F60" s="8" t="n">
        <v>5</v>
      </c>
      <c r="G60" s="8">
        <f>IF(F60&lt;=Model!$B$24,"PAID","free with bundle")</f>
        <v/>
      </c>
      <c r="H60" s="8">
        <f>VLOOKUP(E60,Model!$A$27:$B$35,2,FALSE)</f>
        <v/>
      </c>
      <c r="I60" s="8">
        <f>MAX(Model!$B$22,H60-Model!$B$21)</f>
        <v/>
      </c>
      <c r="J60" s="8">
        <f>H60-I60</f>
        <v/>
      </c>
    </row>
    <row r="61">
      <c r="A61" s="8" t="inlineStr">
        <is>
          <t>Druid|Circle of the Sea</t>
        </is>
      </c>
      <c r="B61" s="8" t="inlineStr">
        <is>
          <t>Druid</t>
        </is>
      </c>
      <c r="C61" s="8" t="inlineStr">
        <is>
          <t>Circle of the Sea</t>
        </is>
      </c>
      <c r="D61" s="8" t="inlineStr">
        <is>
          <t>Control Water</t>
        </is>
      </c>
      <c r="E61" s="8" t="n">
        <v>4</v>
      </c>
      <c r="F61" s="8" t="n">
        <v>7</v>
      </c>
      <c r="G61" s="8">
        <f>IF(F61&lt;=Model!$B$24,"PAID","free with bundle")</f>
        <v/>
      </c>
      <c r="H61" s="8" t="n">
        <v>0</v>
      </c>
      <c r="I61" s="8" t="n">
        <v>0</v>
      </c>
      <c r="J61" s="8">
        <f>H61-I61</f>
        <v/>
      </c>
    </row>
    <row r="62">
      <c r="A62" s="8" t="inlineStr">
        <is>
          <t>Druid|Circle of the Sea</t>
        </is>
      </c>
      <c r="B62" s="8" t="inlineStr">
        <is>
          <t>Druid</t>
        </is>
      </c>
      <c r="C62" s="8" t="inlineStr">
        <is>
          <t>Circle of the Sea</t>
        </is>
      </c>
      <c r="D62" s="8" t="inlineStr">
        <is>
          <t>Ice Storm</t>
        </is>
      </c>
      <c r="E62" s="8" t="n">
        <v>4</v>
      </c>
      <c r="F62" s="8" t="n">
        <v>7</v>
      </c>
      <c r="G62" s="8">
        <f>IF(F62&lt;=Model!$B$24,"PAID","free with bundle")</f>
        <v/>
      </c>
      <c r="H62" s="8" t="n">
        <v>0</v>
      </c>
      <c r="I62" s="8" t="n">
        <v>0</v>
      </c>
      <c r="J62" s="8">
        <f>H62-I62</f>
        <v/>
      </c>
    </row>
    <row r="63">
      <c r="A63" s="8" t="inlineStr">
        <is>
          <t>Druid|Circle of the Sea</t>
        </is>
      </c>
      <c r="B63" s="8" t="inlineStr">
        <is>
          <t>Druid</t>
        </is>
      </c>
      <c r="C63" s="8" t="inlineStr">
        <is>
          <t>Circle of the Sea</t>
        </is>
      </c>
      <c r="D63" s="8" t="inlineStr">
        <is>
          <t>Conjure Elemental</t>
        </is>
      </c>
      <c r="E63" s="8" t="n">
        <v>5</v>
      </c>
      <c r="F63" s="8" t="n">
        <v>9</v>
      </c>
      <c r="G63" s="8">
        <f>IF(F63&lt;=Model!$B$24,"PAID","free with bundle")</f>
        <v/>
      </c>
      <c r="H63" s="8" t="n">
        <v>0</v>
      </c>
      <c r="I63" s="8" t="n">
        <v>0</v>
      </c>
      <c r="J63" s="8">
        <f>H63-I63</f>
        <v/>
      </c>
    </row>
    <row r="64">
      <c r="A64" s="8" t="inlineStr">
        <is>
          <t>Druid|Circle of the Sea</t>
        </is>
      </c>
      <c r="B64" s="8" t="inlineStr">
        <is>
          <t>Druid</t>
        </is>
      </c>
      <c r="C64" s="8" t="inlineStr">
        <is>
          <t>Circle of the Sea</t>
        </is>
      </c>
      <c r="D64" s="8" t="inlineStr">
        <is>
          <t>Hold Monster</t>
        </is>
      </c>
      <c r="E64" s="8" t="n">
        <v>5</v>
      </c>
      <c r="F64" s="8" t="n">
        <v>9</v>
      </c>
      <c r="G64" s="8">
        <f>IF(F64&lt;=Model!$B$24,"PAID","free with bundle")</f>
        <v/>
      </c>
      <c r="H64" s="8" t="n">
        <v>0</v>
      </c>
      <c r="I64" s="8" t="n">
        <v>0</v>
      </c>
      <c r="J64" s="8">
        <f>H64-I64</f>
        <v/>
      </c>
    </row>
    <row r="65">
      <c r="A65" s="8" t="inlineStr">
        <is>
          <t>Druid|Circle of the Stars</t>
        </is>
      </c>
      <c r="B65" s="8" t="inlineStr">
        <is>
          <t>Druid</t>
        </is>
      </c>
      <c r="C65" s="8" t="inlineStr">
        <is>
          <t>Circle of the Stars</t>
        </is>
      </c>
      <c r="D65" s="8" t="inlineStr">
        <is>
          <t>Guidance</t>
        </is>
      </c>
      <c r="E65" s="8" t="n">
        <v>0</v>
      </c>
      <c r="F65" s="8" t="n">
        <v>3</v>
      </c>
      <c r="G65" s="8">
        <f>IF(F65&lt;=Model!$B$24,"PAID","free with bundle")</f>
        <v/>
      </c>
      <c r="H65" s="8">
        <f>Model!$B$23</f>
        <v/>
      </c>
      <c r="I65" s="8">
        <f>Model!$B$23</f>
        <v/>
      </c>
      <c r="J65" s="8">
        <f>H65-I65</f>
        <v/>
      </c>
    </row>
    <row r="66">
      <c r="A66" s="8" t="inlineStr">
        <is>
          <t>Druid|Circle of the Stars</t>
        </is>
      </c>
      <c r="B66" s="8" t="inlineStr">
        <is>
          <t>Druid</t>
        </is>
      </c>
      <c r="C66" s="8" t="inlineStr">
        <is>
          <t>Circle of the Stars</t>
        </is>
      </c>
      <c r="D66" s="8" t="inlineStr">
        <is>
          <t>Guiding Bolt</t>
        </is>
      </c>
      <c r="E66" s="8" t="n">
        <v>1</v>
      </c>
      <c r="F66" s="8" t="n">
        <v>3</v>
      </c>
      <c r="G66" s="8">
        <f>IF(F66&lt;=Model!$B$24,"PAID","free with bundle")</f>
        <v/>
      </c>
      <c r="H66" s="8">
        <f>VLOOKUP(E66,Model!$A$27:$B$35,2,FALSE)</f>
        <v/>
      </c>
      <c r="I66" s="8">
        <f>MAX(Model!$B$22,H66-Model!$B$21)</f>
        <v/>
      </c>
      <c r="J66" s="8">
        <f>H66-I66</f>
        <v/>
      </c>
    </row>
    <row r="67">
      <c r="A67" s="8" t="inlineStr">
        <is>
          <t>Paladin|Oath of Devotion</t>
        </is>
      </c>
      <c r="B67" s="8" t="inlineStr">
        <is>
          <t>Paladin</t>
        </is>
      </c>
      <c r="C67" s="8" t="inlineStr">
        <is>
          <t>Oath of Devotion</t>
        </is>
      </c>
      <c r="D67" s="8" t="inlineStr">
        <is>
          <t>Protection from Evil and Good</t>
        </is>
      </c>
      <c r="E67" s="8" t="n">
        <v>1</v>
      </c>
      <c r="F67" s="8" t="n">
        <v>3</v>
      </c>
      <c r="G67" s="8">
        <f>IF(F67&lt;=Model!$B$24,"PAID","free with bundle")</f>
        <v/>
      </c>
      <c r="H67" s="8">
        <f>VLOOKUP(E67,Model!$A$27:$B$35,2,FALSE)</f>
        <v/>
      </c>
      <c r="I67" s="8">
        <f>MAX(Model!$B$22,H67-Model!$B$21)</f>
        <v/>
      </c>
      <c r="J67" s="8">
        <f>H67-I67</f>
        <v/>
      </c>
    </row>
    <row r="68">
      <c r="A68" s="8" t="inlineStr">
        <is>
          <t>Paladin|Oath of Devotion</t>
        </is>
      </c>
      <c r="B68" s="8" t="inlineStr">
        <is>
          <t>Paladin</t>
        </is>
      </c>
      <c r="C68" s="8" t="inlineStr">
        <is>
          <t>Oath of Devotion</t>
        </is>
      </c>
      <c r="D68" s="8" t="inlineStr">
        <is>
          <t>Shield of Faith</t>
        </is>
      </c>
      <c r="E68" s="8" t="n">
        <v>1</v>
      </c>
      <c r="F68" s="8" t="n">
        <v>3</v>
      </c>
      <c r="G68" s="8">
        <f>IF(F68&lt;=Model!$B$24,"PAID","free with bundle")</f>
        <v/>
      </c>
      <c r="H68" s="8">
        <f>VLOOKUP(E68,Model!$A$27:$B$35,2,FALSE)</f>
        <v/>
      </c>
      <c r="I68" s="8">
        <f>MAX(Model!$B$22,H68-Model!$B$21)</f>
        <v/>
      </c>
      <c r="J68" s="8">
        <f>H68-I68</f>
        <v/>
      </c>
    </row>
    <row r="69">
      <c r="A69" s="8" t="inlineStr">
        <is>
          <t>Paladin|Oath of Devotion</t>
        </is>
      </c>
      <c r="B69" s="8" t="inlineStr">
        <is>
          <t>Paladin</t>
        </is>
      </c>
      <c r="C69" s="8" t="inlineStr">
        <is>
          <t>Oath of Devotion</t>
        </is>
      </c>
      <c r="D69" s="8" t="inlineStr">
        <is>
          <t>Aid</t>
        </is>
      </c>
      <c r="E69" s="8" t="n">
        <v>2</v>
      </c>
      <c r="F69" s="8" t="n">
        <v>5</v>
      </c>
      <c r="G69" s="8">
        <f>IF(F69&lt;=Model!$B$24,"PAID","free with bundle")</f>
        <v/>
      </c>
      <c r="H69" s="8">
        <f>VLOOKUP(E69,Model!$A$27:$B$35,2,FALSE)</f>
        <v/>
      </c>
      <c r="I69" s="8">
        <f>MAX(Model!$B$22,H69-Model!$B$21)</f>
        <v/>
      </c>
      <c r="J69" s="8">
        <f>H69-I69</f>
        <v/>
      </c>
    </row>
    <row r="70">
      <c r="A70" s="8" t="inlineStr">
        <is>
          <t>Paladin|Oath of Devotion</t>
        </is>
      </c>
      <c r="B70" s="8" t="inlineStr">
        <is>
          <t>Paladin</t>
        </is>
      </c>
      <c r="C70" s="8" t="inlineStr">
        <is>
          <t>Oath of Devotion</t>
        </is>
      </c>
      <c r="D70" s="8" t="inlineStr">
        <is>
          <t>Zone of Truth</t>
        </is>
      </c>
      <c r="E70" s="8" t="n">
        <v>2</v>
      </c>
      <c r="F70" s="8" t="n">
        <v>5</v>
      </c>
      <c r="G70" s="8">
        <f>IF(F70&lt;=Model!$B$24,"PAID","free with bundle")</f>
        <v/>
      </c>
      <c r="H70" s="8">
        <f>VLOOKUP(E70,Model!$A$27:$B$35,2,FALSE)</f>
        <v/>
      </c>
      <c r="I70" s="8">
        <f>MAX(Model!$B$22,H70-Model!$B$21)</f>
        <v/>
      </c>
      <c r="J70" s="8">
        <f>H70-I70</f>
        <v/>
      </c>
    </row>
    <row r="71">
      <c r="A71" s="8" t="inlineStr">
        <is>
          <t>Paladin|Oath of Devotion</t>
        </is>
      </c>
      <c r="B71" s="8" t="inlineStr">
        <is>
          <t>Paladin</t>
        </is>
      </c>
      <c r="C71" s="8" t="inlineStr">
        <is>
          <t>Oath of Devotion</t>
        </is>
      </c>
      <c r="D71" s="8" t="inlineStr">
        <is>
          <t>Beacon of Hope</t>
        </is>
      </c>
      <c r="E71" s="8" t="n">
        <v>3</v>
      </c>
      <c r="F71" s="8" t="n">
        <v>9</v>
      </c>
      <c r="G71" s="8">
        <f>IF(F71&lt;=Model!$B$24,"PAID","free with bundle")</f>
        <v/>
      </c>
      <c r="H71" s="8" t="n">
        <v>0</v>
      </c>
      <c r="I71" s="8" t="n">
        <v>0</v>
      </c>
      <c r="J71" s="8">
        <f>H71-I71</f>
        <v/>
      </c>
    </row>
    <row r="72">
      <c r="A72" s="8" t="inlineStr">
        <is>
          <t>Paladin|Oath of Devotion</t>
        </is>
      </c>
      <c r="B72" s="8" t="inlineStr">
        <is>
          <t>Paladin</t>
        </is>
      </c>
      <c r="C72" s="8" t="inlineStr">
        <is>
          <t>Oath of Devotion</t>
        </is>
      </c>
      <c r="D72" s="8" t="inlineStr">
        <is>
          <t>Dispel Magic</t>
        </is>
      </c>
      <c r="E72" s="8" t="n">
        <v>3</v>
      </c>
      <c r="F72" s="8" t="n">
        <v>9</v>
      </c>
      <c r="G72" s="8">
        <f>IF(F72&lt;=Model!$B$24,"PAID","free with bundle")</f>
        <v/>
      </c>
      <c r="H72" s="8" t="n">
        <v>0</v>
      </c>
      <c r="I72" s="8" t="n">
        <v>0</v>
      </c>
      <c r="J72" s="8">
        <f>H72-I72</f>
        <v/>
      </c>
    </row>
    <row r="73">
      <c r="A73" s="8" t="inlineStr">
        <is>
          <t>Paladin|Oath of Devotion</t>
        </is>
      </c>
      <c r="B73" s="8" t="inlineStr">
        <is>
          <t>Paladin</t>
        </is>
      </c>
      <c r="C73" s="8" t="inlineStr">
        <is>
          <t>Oath of Devotion</t>
        </is>
      </c>
      <c r="D73" s="8" t="inlineStr">
        <is>
          <t>Freedom of Movement</t>
        </is>
      </c>
      <c r="E73" s="8" t="n">
        <v>4</v>
      </c>
      <c r="F73" s="8" t="n">
        <v>13</v>
      </c>
      <c r="G73" s="8">
        <f>IF(F73&lt;=Model!$B$24,"PAID","free with bundle")</f>
        <v/>
      </c>
      <c r="H73" s="8" t="n">
        <v>0</v>
      </c>
      <c r="I73" s="8" t="n">
        <v>0</v>
      </c>
      <c r="J73" s="8">
        <f>H73-I73</f>
        <v/>
      </c>
    </row>
    <row r="74">
      <c r="A74" s="8" t="inlineStr">
        <is>
          <t>Paladin|Oath of Devotion</t>
        </is>
      </c>
      <c r="B74" s="8" t="inlineStr">
        <is>
          <t>Paladin</t>
        </is>
      </c>
      <c r="C74" s="8" t="inlineStr">
        <is>
          <t>Oath of Devotion</t>
        </is>
      </c>
      <c r="D74" s="8" t="inlineStr">
        <is>
          <t>Guardian of Faith</t>
        </is>
      </c>
      <c r="E74" s="8" t="n">
        <v>4</v>
      </c>
      <c r="F74" s="8" t="n">
        <v>13</v>
      </c>
      <c r="G74" s="8">
        <f>IF(F74&lt;=Model!$B$24,"PAID","free with bundle")</f>
        <v/>
      </c>
      <c r="H74" s="8" t="n">
        <v>0</v>
      </c>
      <c r="I74" s="8" t="n">
        <v>0</v>
      </c>
      <c r="J74" s="8">
        <f>H74-I74</f>
        <v/>
      </c>
    </row>
    <row r="75">
      <c r="A75" s="8" t="inlineStr">
        <is>
          <t>Paladin|Oath of Devotion</t>
        </is>
      </c>
      <c r="B75" s="8" t="inlineStr">
        <is>
          <t>Paladin</t>
        </is>
      </c>
      <c r="C75" s="8" t="inlineStr">
        <is>
          <t>Oath of Devotion</t>
        </is>
      </c>
      <c r="D75" s="8" t="inlineStr">
        <is>
          <t>Commune</t>
        </is>
      </c>
      <c r="E75" s="8" t="n">
        <v>5</v>
      </c>
      <c r="F75" s="8" t="n">
        <v>17</v>
      </c>
      <c r="G75" s="8">
        <f>IF(F75&lt;=Model!$B$24,"PAID","free with bundle")</f>
        <v/>
      </c>
      <c r="H75" s="8" t="n">
        <v>0</v>
      </c>
      <c r="I75" s="8" t="n">
        <v>0</v>
      </c>
      <c r="J75" s="8">
        <f>H75-I75</f>
        <v/>
      </c>
    </row>
    <row r="76">
      <c r="A76" s="8" t="inlineStr">
        <is>
          <t>Paladin|Oath of Devotion</t>
        </is>
      </c>
      <c r="B76" s="8" t="inlineStr">
        <is>
          <t>Paladin</t>
        </is>
      </c>
      <c r="C76" s="8" t="inlineStr">
        <is>
          <t>Oath of Devotion</t>
        </is>
      </c>
      <c r="D76" s="8" t="inlineStr">
        <is>
          <t>Flame Strike</t>
        </is>
      </c>
      <c r="E76" s="8" t="n">
        <v>5</v>
      </c>
      <c r="F76" s="8" t="n">
        <v>17</v>
      </c>
      <c r="G76" s="8">
        <f>IF(F76&lt;=Model!$B$24,"PAID","free with bundle")</f>
        <v/>
      </c>
      <c r="H76" s="8" t="n">
        <v>0</v>
      </c>
      <c r="I76" s="8" t="n">
        <v>0</v>
      </c>
      <c r="J76" s="8">
        <f>H76-I76</f>
        <v/>
      </c>
    </row>
    <row r="77">
      <c r="A77" s="8" t="inlineStr">
        <is>
          <t>Paladin|Oath of Glory</t>
        </is>
      </c>
      <c r="B77" s="8" t="inlineStr">
        <is>
          <t>Paladin</t>
        </is>
      </c>
      <c r="C77" s="8" t="inlineStr">
        <is>
          <t>Oath of Glory</t>
        </is>
      </c>
      <c r="D77" s="8" t="inlineStr">
        <is>
          <t>Guiding Bolt</t>
        </is>
      </c>
      <c r="E77" s="8" t="n">
        <v>1</v>
      </c>
      <c r="F77" s="8" t="n">
        <v>3</v>
      </c>
      <c r="G77" s="8">
        <f>IF(F77&lt;=Model!$B$24,"PAID","free with bundle")</f>
        <v/>
      </c>
      <c r="H77" s="8">
        <f>VLOOKUP(E77,Model!$A$27:$B$35,2,FALSE)</f>
        <v/>
      </c>
      <c r="I77" s="8">
        <f>MAX(Model!$B$22,H77-Model!$B$21)</f>
        <v/>
      </c>
      <c r="J77" s="8">
        <f>H77-I77</f>
        <v/>
      </c>
    </row>
    <row r="78">
      <c r="A78" s="8" t="inlineStr">
        <is>
          <t>Paladin|Oath of Glory</t>
        </is>
      </c>
      <c r="B78" s="8" t="inlineStr">
        <is>
          <t>Paladin</t>
        </is>
      </c>
      <c r="C78" s="8" t="inlineStr">
        <is>
          <t>Oath of Glory</t>
        </is>
      </c>
      <c r="D78" s="8" t="inlineStr">
        <is>
          <t>Heroism</t>
        </is>
      </c>
      <c r="E78" s="8" t="n">
        <v>1</v>
      </c>
      <c r="F78" s="8" t="n">
        <v>3</v>
      </c>
      <c r="G78" s="8">
        <f>IF(F78&lt;=Model!$B$24,"PAID","free with bundle")</f>
        <v/>
      </c>
      <c r="H78" s="8">
        <f>VLOOKUP(E78,Model!$A$27:$B$35,2,FALSE)</f>
        <v/>
      </c>
      <c r="I78" s="8">
        <f>MAX(Model!$B$22,H78-Model!$B$21)</f>
        <v/>
      </c>
      <c r="J78" s="8">
        <f>H78-I78</f>
        <v/>
      </c>
    </row>
    <row r="79">
      <c r="A79" s="8" t="inlineStr">
        <is>
          <t>Paladin|Oath of Glory</t>
        </is>
      </c>
      <c r="B79" s="8" t="inlineStr">
        <is>
          <t>Paladin</t>
        </is>
      </c>
      <c r="C79" s="8" t="inlineStr">
        <is>
          <t>Oath of Glory</t>
        </is>
      </c>
      <c r="D79" s="8" t="inlineStr">
        <is>
          <t>Enhance Ability</t>
        </is>
      </c>
      <c r="E79" s="8" t="n">
        <v>2</v>
      </c>
      <c r="F79" s="8" t="n">
        <v>5</v>
      </c>
      <c r="G79" s="8">
        <f>IF(F79&lt;=Model!$B$24,"PAID","free with bundle")</f>
        <v/>
      </c>
      <c r="H79" s="8">
        <f>VLOOKUP(E79,Model!$A$27:$B$35,2,FALSE)</f>
        <v/>
      </c>
      <c r="I79" s="8">
        <f>MAX(Model!$B$22,H79-Model!$B$21)</f>
        <v/>
      </c>
      <c r="J79" s="8">
        <f>H79-I79</f>
        <v/>
      </c>
    </row>
    <row r="80">
      <c r="A80" s="8" t="inlineStr">
        <is>
          <t>Paladin|Oath of Glory</t>
        </is>
      </c>
      <c r="B80" s="8" t="inlineStr">
        <is>
          <t>Paladin</t>
        </is>
      </c>
      <c r="C80" s="8" t="inlineStr">
        <is>
          <t>Oath of Glory</t>
        </is>
      </c>
      <c r="D80" s="8" t="inlineStr">
        <is>
          <t>Magic Weapon</t>
        </is>
      </c>
      <c r="E80" s="8" t="n">
        <v>2</v>
      </c>
      <c r="F80" s="8" t="n">
        <v>5</v>
      </c>
      <c r="G80" s="8">
        <f>IF(F80&lt;=Model!$B$24,"PAID","free with bundle")</f>
        <v/>
      </c>
      <c r="H80" s="8">
        <f>VLOOKUP(E80,Model!$A$27:$B$35,2,FALSE)</f>
        <v/>
      </c>
      <c r="I80" s="8">
        <f>MAX(Model!$B$22,H80-Model!$B$21)</f>
        <v/>
      </c>
      <c r="J80" s="8">
        <f>H80-I80</f>
        <v/>
      </c>
    </row>
    <row r="81">
      <c r="A81" s="8" t="inlineStr">
        <is>
          <t>Paladin|Oath of Glory</t>
        </is>
      </c>
      <c r="B81" s="8" t="inlineStr">
        <is>
          <t>Paladin</t>
        </is>
      </c>
      <c r="C81" s="8" t="inlineStr">
        <is>
          <t>Oath of Glory</t>
        </is>
      </c>
      <c r="D81" s="8" t="inlineStr">
        <is>
          <t>Haste</t>
        </is>
      </c>
      <c r="E81" s="8" t="n">
        <v>3</v>
      </c>
      <c r="F81" s="8" t="n">
        <v>9</v>
      </c>
      <c r="G81" s="8">
        <f>IF(F81&lt;=Model!$B$24,"PAID","free with bundle")</f>
        <v/>
      </c>
      <c r="H81" s="8" t="n">
        <v>0</v>
      </c>
      <c r="I81" s="8" t="n">
        <v>0</v>
      </c>
      <c r="J81" s="8">
        <f>H81-I81</f>
        <v/>
      </c>
    </row>
    <row r="82">
      <c r="A82" s="8" t="inlineStr">
        <is>
          <t>Paladin|Oath of Glory</t>
        </is>
      </c>
      <c r="B82" s="8" t="inlineStr">
        <is>
          <t>Paladin</t>
        </is>
      </c>
      <c r="C82" s="8" t="inlineStr">
        <is>
          <t>Oath of Glory</t>
        </is>
      </c>
      <c r="D82" s="8" t="inlineStr">
        <is>
          <t>Protection from Energy</t>
        </is>
      </c>
      <c r="E82" s="8" t="n">
        <v>3</v>
      </c>
      <c r="F82" s="8" t="n">
        <v>9</v>
      </c>
      <c r="G82" s="8">
        <f>IF(F82&lt;=Model!$B$24,"PAID","free with bundle")</f>
        <v/>
      </c>
      <c r="H82" s="8" t="n">
        <v>0</v>
      </c>
      <c r="I82" s="8" t="n">
        <v>0</v>
      </c>
      <c r="J82" s="8">
        <f>H82-I82</f>
        <v/>
      </c>
    </row>
    <row r="83">
      <c r="A83" s="8" t="inlineStr">
        <is>
          <t>Paladin|Oath of Glory</t>
        </is>
      </c>
      <c r="B83" s="8" t="inlineStr">
        <is>
          <t>Paladin</t>
        </is>
      </c>
      <c r="C83" s="8" t="inlineStr">
        <is>
          <t>Oath of Glory</t>
        </is>
      </c>
      <c r="D83" s="8" t="inlineStr">
        <is>
          <t>Compulsion</t>
        </is>
      </c>
      <c r="E83" s="8" t="n">
        <v>4</v>
      </c>
      <c r="F83" s="8" t="n">
        <v>13</v>
      </c>
      <c r="G83" s="8">
        <f>IF(F83&lt;=Model!$B$24,"PAID","free with bundle")</f>
        <v/>
      </c>
      <c r="H83" s="8" t="n">
        <v>0</v>
      </c>
      <c r="I83" s="8" t="n">
        <v>0</v>
      </c>
      <c r="J83" s="8">
        <f>H83-I83</f>
        <v/>
      </c>
    </row>
    <row r="84">
      <c r="A84" s="8" t="inlineStr">
        <is>
          <t>Paladin|Oath of Glory</t>
        </is>
      </c>
      <c r="B84" s="8" t="inlineStr">
        <is>
          <t>Paladin</t>
        </is>
      </c>
      <c r="C84" s="8" t="inlineStr">
        <is>
          <t>Oath of Glory</t>
        </is>
      </c>
      <c r="D84" s="8" t="inlineStr">
        <is>
          <t>Freedom of Movement</t>
        </is>
      </c>
      <c r="E84" s="8" t="n">
        <v>4</v>
      </c>
      <c r="F84" s="8" t="n">
        <v>13</v>
      </c>
      <c r="G84" s="8">
        <f>IF(F84&lt;=Model!$B$24,"PAID","free with bundle")</f>
        <v/>
      </c>
      <c r="H84" s="8" t="n">
        <v>0</v>
      </c>
      <c r="I84" s="8" t="n">
        <v>0</v>
      </c>
      <c r="J84" s="8">
        <f>H84-I84</f>
        <v/>
      </c>
    </row>
    <row r="85">
      <c r="A85" s="8" t="inlineStr">
        <is>
          <t>Paladin|Oath of Glory</t>
        </is>
      </c>
      <c r="B85" s="8" t="inlineStr">
        <is>
          <t>Paladin</t>
        </is>
      </c>
      <c r="C85" s="8" t="inlineStr">
        <is>
          <t>Oath of Glory</t>
        </is>
      </c>
      <c r="D85" s="8" t="inlineStr">
        <is>
          <t>Legend Lore</t>
        </is>
      </c>
      <c r="E85" s="8" t="n">
        <v>5</v>
      </c>
      <c r="F85" s="8" t="n">
        <v>17</v>
      </c>
      <c r="G85" s="8">
        <f>IF(F85&lt;=Model!$B$24,"PAID","free with bundle")</f>
        <v/>
      </c>
      <c r="H85" s="8" t="n">
        <v>0</v>
      </c>
      <c r="I85" s="8" t="n">
        <v>0</v>
      </c>
      <c r="J85" s="8">
        <f>H85-I85</f>
        <v/>
      </c>
    </row>
    <row r="86">
      <c r="A86" s="8" t="inlineStr">
        <is>
          <t>Paladin|Oath of Glory</t>
        </is>
      </c>
      <c r="B86" s="8" t="inlineStr">
        <is>
          <t>Paladin</t>
        </is>
      </c>
      <c r="C86" s="8" t="inlineStr">
        <is>
          <t>Oath of Glory</t>
        </is>
      </c>
      <c r="D86" s="8" t="inlineStr">
        <is>
          <t>Yolande's Regal Presence</t>
        </is>
      </c>
      <c r="E86" s="8" t="n">
        <v>5</v>
      </c>
      <c r="F86" s="8" t="n">
        <v>17</v>
      </c>
      <c r="G86" s="8">
        <f>IF(F86&lt;=Model!$B$24,"PAID","free with bundle")</f>
        <v/>
      </c>
      <c r="H86" s="8" t="n">
        <v>0</v>
      </c>
      <c r="I86" s="8" t="n">
        <v>0</v>
      </c>
      <c r="J86" s="8">
        <f>H86-I86</f>
        <v/>
      </c>
    </row>
    <row r="87">
      <c r="A87" s="8" t="inlineStr">
        <is>
          <t>Paladin|Oath of the Ancients</t>
        </is>
      </c>
      <c r="B87" s="8" t="inlineStr">
        <is>
          <t>Paladin</t>
        </is>
      </c>
      <c r="C87" s="8" t="inlineStr">
        <is>
          <t>Oath of the Ancients</t>
        </is>
      </c>
      <c r="D87" s="8" t="inlineStr">
        <is>
          <t>Ensnaring Strike</t>
        </is>
      </c>
      <c r="E87" s="8" t="n">
        <v>1</v>
      </c>
      <c r="F87" s="8" t="n">
        <v>3</v>
      </c>
      <c r="G87" s="8">
        <f>IF(F87&lt;=Model!$B$24,"PAID","free with bundle")</f>
        <v/>
      </c>
      <c r="H87" s="8">
        <f>VLOOKUP(E87,Model!$A$27:$B$35,2,FALSE)</f>
        <v/>
      </c>
      <c r="I87" s="8">
        <f>MAX(Model!$B$22,H87-Model!$B$21)</f>
        <v/>
      </c>
      <c r="J87" s="8">
        <f>H87-I87</f>
        <v/>
      </c>
    </row>
    <row r="88">
      <c r="A88" s="8" t="inlineStr">
        <is>
          <t>Paladin|Oath of the Ancients</t>
        </is>
      </c>
      <c r="B88" s="8" t="inlineStr">
        <is>
          <t>Paladin</t>
        </is>
      </c>
      <c r="C88" s="8" t="inlineStr">
        <is>
          <t>Oath of the Ancients</t>
        </is>
      </c>
      <c r="D88" s="8" t="inlineStr">
        <is>
          <t>Speak with Animals</t>
        </is>
      </c>
      <c r="E88" s="8" t="n">
        <v>1</v>
      </c>
      <c r="F88" s="8" t="n">
        <v>3</v>
      </c>
      <c r="G88" s="8">
        <f>IF(F88&lt;=Model!$B$24,"PAID","free with bundle")</f>
        <v/>
      </c>
      <c r="H88" s="8">
        <f>VLOOKUP(E88,Model!$A$27:$B$35,2,FALSE)</f>
        <v/>
      </c>
      <c r="I88" s="8">
        <f>MAX(Model!$B$22,H88-Model!$B$21)</f>
        <v/>
      </c>
      <c r="J88" s="8">
        <f>H88-I88</f>
        <v/>
      </c>
    </row>
    <row r="89">
      <c r="A89" s="8" t="inlineStr">
        <is>
          <t>Paladin|Oath of the Ancients</t>
        </is>
      </c>
      <c r="B89" s="8" t="inlineStr">
        <is>
          <t>Paladin</t>
        </is>
      </c>
      <c r="C89" s="8" t="inlineStr">
        <is>
          <t>Oath of the Ancients</t>
        </is>
      </c>
      <c r="D89" s="8" t="inlineStr">
        <is>
          <t>Misty Step</t>
        </is>
      </c>
      <c r="E89" s="8" t="n">
        <v>2</v>
      </c>
      <c r="F89" s="8" t="n">
        <v>5</v>
      </c>
      <c r="G89" s="8">
        <f>IF(F89&lt;=Model!$B$24,"PAID","free with bundle")</f>
        <v/>
      </c>
      <c r="H89" s="8">
        <f>VLOOKUP(E89,Model!$A$27:$B$35,2,FALSE)</f>
        <v/>
      </c>
      <c r="I89" s="8">
        <f>MAX(Model!$B$22,H89-Model!$B$21)</f>
        <v/>
      </c>
      <c r="J89" s="8">
        <f>H89-I89</f>
        <v/>
      </c>
    </row>
    <row r="90">
      <c r="A90" s="8" t="inlineStr">
        <is>
          <t>Paladin|Oath of the Ancients</t>
        </is>
      </c>
      <c r="B90" s="8" t="inlineStr">
        <is>
          <t>Paladin</t>
        </is>
      </c>
      <c r="C90" s="8" t="inlineStr">
        <is>
          <t>Oath of the Ancients</t>
        </is>
      </c>
      <c r="D90" s="8" t="inlineStr">
        <is>
          <t>Moonbeam</t>
        </is>
      </c>
      <c r="E90" s="8" t="n">
        <v>2</v>
      </c>
      <c r="F90" s="8" t="n">
        <v>5</v>
      </c>
      <c r="G90" s="8">
        <f>IF(F90&lt;=Model!$B$24,"PAID","free with bundle")</f>
        <v/>
      </c>
      <c r="H90" s="8">
        <f>VLOOKUP(E90,Model!$A$27:$B$35,2,FALSE)</f>
        <v/>
      </c>
      <c r="I90" s="8">
        <f>MAX(Model!$B$22,H90-Model!$B$21)</f>
        <v/>
      </c>
      <c r="J90" s="8">
        <f>H90-I90</f>
        <v/>
      </c>
    </row>
    <row r="91">
      <c r="A91" s="8" t="inlineStr">
        <is>
          <t>Paladin|Oath of the Ancients</t>
        </is>
      </c>
      <c r="B91" s="8" t="inlineStr">
        <is>
          <t>Paladin</t>
        </is>
      </c>
      <c r="C91" s="8" t="inlineStr">
        <is>
          <t>Oath of the Ancients</t>
        </is>
      </c>
      <c r="D91" s="8" t="inlineStr">
        <is>
          <t>Plant Growth</t>
        </is>
      </c>
      <c r="E91" s="8" t="n">
        <v>3</v>
      </c>
      <c r="F91" s="8" t="n">
        <v>9</v>
      </c>
      <c r="G91" s="8">
        <f>IF(F91&lt;=Model!$B$24,"PAID","free with bundle")</f>
        <v/>
      </c>
      <c r="H91" s="8" t="n">
        <v>0</v>
      </c>
      <c r="I91" s="8" t="n">
        <v>0</v>
      </c>
      <c r="J91" s="8">
        <f>H91-I91</f>
        <v/>
      </c>
    </row>
    <row r="92">
      <c r="A92" s="8" t="inlineStr">
        <is>
          <t>Paladin|Oath of the Ancients</t>
        </is>
      </c>
      <c r="B92" s="8" t="inlineStr">
        <is>
          <t>Paladin</t>
        </is>
      </c>
      <c r="C92" s="8" t="inlineStr">
        <is>
          <t>Oath of the Ancients</t>
        </is>
      </c>
      <c r="D92" s="8" t="inlineStr">
        <is>
          <t>Protection from Energy</t>
        </is>
      </c>
      <c r="E92" s="8" t="n">
        <v>3</v>
      </c>
      <c r="F92" s="8" t="n">
        <v>9</v>
      </c>
      <c r="G92" s="8">
        <f>IF(F92&lt;=Model!$B$24,"PAID","free with bundle")</f>
        <v/>
      </c>
      <c r="H92" s="8" t="n">
        <v>0</v>
      </c>
      <c r="I92" s="8" t="n">
        <v>0</v>
      </c>
      <c r="J92" s="8">
        <f>H92-I92</f>
        <v/>
      </c>
    </row>
    <row r="93">
      <c r="A93" s="8" t="inlineStr">
        <is>
          <t>Paladin|Oath of the Ancients</t>
        </is>
      </c>
      <c r="B93" s="8" t="inlineStr">
        <is>
          <t>Paladin</t>
        </is>
      </c>
      <c r="C93" s="8" t="inlineStr">
        <is>
          <t>Oath of the Ancients</t>
        </is>
      </c>
      <c r="D93" s="8" t="inlineStr">
        <is>
          <t>Ice Storm</t>
        </is>
      </c>
      <c r="E93" s="8" t="n">
        <v>4</v>
      </c>
      <c r="F93" s="8" t="n">
        <v>13</v>
      </c>
      <c r="G93" s="8">
        <f>IF(F93&lt;=Model!$B$24,"PAID","free with bundle")</f>
        <v/>
      </c>
      <c r="H93" s="8" t="n">
        <v>0</v>
      </c>
      <c r="I93" s="8" t="n">
        <v>0</v>
      </c>
      <c r="J93" s="8">
        <f>H93-I93</f>
        <v/>
      </c>
    </row>
    <row r="94">
      <c r="A94" s="8" t="inlineStr">
        <is>
          <t>Paladin|Oath of the Ancients</t>
        </is>
      </c>
      <c r="B94" s="8" t="inlineStr">
        <is>
          <t>Paladin</t>
        </is>
      </c>
      <c r="C94" s="8" t="inlineStr">
        <is>
          <t>Oath of the Ancients</t>
        </is>
      </c>
      <c r="D94" s="8" t="inlineStr">
        <is>
          <t>Stoneskin</t>
        </is>
      </c>
      <c r="E94" s="8" t="n">
        <v>4</v>
      </c>
      <c r="F94" s="8" t="n">
        <v>13</v>
      </c>
      <c r="G94" s="8">
        <f>IF(F94&lt;=Model!$B$24,"PAID","free with bundle")</f>
        <v/>
      </c>
      <c r="H94" s="8" t="n">
        <v>0</v>
      </c>
      <c r="I94" s="8" t="n">
        <v>0</v>
      </c>
      <c r="J94" s="8">
        <f>H94-I94</f>
        <v/>
      </c>
    </row>
    <row r="95">
      <c r="A95" s="8" t="inlineStr">
        <is>
          <t>Paladin|Oath of the Ancients</t>
        </is>
      </c>
      <c r="B95" s="8" t="inlineStr">
        <is>
          <t>Paladin</t>
        </is>
      </c>
      <c r="C95" s="8" t="inlineStr">
        <is>
          <t>Oath of the Ancients</t>
        </is>
      </c>
      <c r="D95" s="8" t="inlineStr">
        <is>
          <t>Commune with Nature</t>
        </is>
      </c>
      <c r="E95" s="8" t="n">
        <v>5</v>
      </c>
      <c r="F95" s="8" t="n">
        <v>17</v>
      </c>
      <c r="G95" s="8">
        <f>IF(F95&lt;=Model!$B$24,"PAID","free with bundle")</f>
        <v/>
      </c>
      <c r="H95" s="8" t="n">
        <v>0</v>
      </c>
      <c r="I95" s="8" t="n">
        <v>0</v>
      </c>
      <c r="J95" s="8">
        <f>H95-I95</f>
        <v/>
      </c>
    </row>
    <row r="96">
      <c r="A96" s="8" t="inlineStr">
        <is>
          <t>Paladin|Oath of the Ancients</t>
        </is>
      </c>
      <c r="B96" s="8" t="inlineStr">
        <is>
          <t>Paladin</t>
        </is>
      </c>
      <c r="C96" s="8" t="inlineStr">
        <is>
          <t>Oath of the Ancients</t>
        </is>
      </c>
      <c r="D96" s="8" t="inlineStr">
        <is>
          <t>Tree Stride</t>
        </is>
      </c>
      <c r="E96" s="8" t="n">
        <v>5</v>
      </c>
      <c r="F96" s="8" t="n">
        <v>17</v>
      </c>
      <c r="G96" s="8">
        <f>IF(F96&lt;=Model!$B$24,"PAID","free with bundle")</f>
        <v/>
      </c>
      <c r="H96" s="8" t="n">
        <v>0</v>
      </c>
      <c r="I96" s="8" t="n">
        <v>0</v>
      </c>
      <c r="J96" s="8">
        <f>H96-I96</f>
        <v/>
      </c>
    </row>
    <row r="97">
      <c r="A97" s="8" t="inlineStr">
        <is>
          <t>Paladin|Oath of Vengeance</t>
        </is>
      </c>
      <c r="B97" s="8" t="inlineStr">
        <is>
          <t>Paladin</t>
        </is>
      </c>
      <c r="C97" s="8" t="inlineStr">
        <is>
          <t>Oath of Vengeance</t>
        </is>
      </c>
      <c r="D97" s="8" t="inlineStr">
        <is>
          <t>Bane</t>
        </is>
      </c>
      <c r="E97" s="8" t="n">
        <v>1</v>
      </c>
      <c r="F97" s="8" t="n">
        <v>3</v>
      </c>
      <c r="G97" s="8">
        <f>IF(F97&lt;=Model!$B$24,"PAID","free with bundle")</f>
        <v/>
      </c>
      <c r="H97" s="8">
        <f>VLOOKUP(E97,Model!$A$27:$B$35,2,FALSE)</f>
        <v/>
      </c>
      <c r="I97" s="8">
        <f>MAX(Model!$B$22,H97-Model!$B$21)</f>
        <v/>
      </c>
      <c r="J97" s="8">
        <f>H97-I97</f>
        <v/>
      </c>
    </row>
    <row r="98">
      <c r="A98" s="8" t="inlineStr">
        <is>
          <t>Paladin|Oath of Vengeance</t>
        </is>
      </c>
      <c r="B98" s="8" t="inlineStr">
        <is>
          <t>Paladin</t>
        </is>
      </c>
      <c r="C98" s="8" t="inlineStr">
        <is>
          <t>Oath of Vengeance</t>
        </is>
      </c>
      <c r="D98" s="8" t="inlineStr">
        <is>
          <t>Hunter's Mark</t>
        </is>
      </c>
      <c r="E98" s="8" t="n">
        <v>1</v>
      </c>
      <c r="F98" s="8" t="n">
        <v>3</v>
      </c>
      <c r="G98" s="8">
        <f>IF(F98&lt;=Model!$B$24,"PAID","free with bundle")</f>
        <v/>
      </c>
      <c r="H98" s="8">
        <f>VLOOKUP(E98,Model!$A$27:$B$35,2,FALSE)</f>
        <v/>
      </c>
      <c r="I98" s="8">
        <f>MAX(Model!$B$22,H98-Model!$B$21)</f>
        <v/>
      </c>
      <c r="J98" s="8">
        <f>H98-I98</f>
        <v/>
      </c>
    </row>
    <row r="99">
      <c r="A99" s="8" t="inlineStr">
        <is>
          <t>Paladin|Oath of Vengeance</t>
        </is>
      </c>
      <c r="B99" s="8" t="inlineStr">
        <is>
          <t>Paladin</t>
        </is>
      </c>
      <c r="C99" s="8" t="inlineStr">
        <is>
          <t>Oath of Vengeance</t>
        </is>
      </c>
      <c r="D99" s="8" t="inlineStr">
        <is>
          <t>Hold Person</t>
        </is>
      </c>
      <c r="E99" s="8" t="n">
        <v>2</v>
      </c>
      <c r="F99" s="8" t="n">
        <v>5</v>
      </c>
      <c r="G99" s="8">
        <f>IF(F99&lt;=Model!$B$24,"PAID","free with bundle")</f>
        <v/>
      </c>
      <c r="H99" s="8">
        <f>VLOOKUP(E99,Model!$A$27:$B$35,2,FALSE)</f>
        <v/>
      </c>
      <c r="I99" s="8">
        <f>MAX(Model!$B$22,H99-Model!$B$21)</f>
        <v/>
      </c>
      <c r="J99" s="8">
        <f>H99-I99</f>
        <v/>
      </c>
    </row>
    <row r="100">
      <c r="A100" s="8" t="inlineStr">
        <is>
          <t>Paladin|Oath of Vengeance</t>
        </is>
      </c>
      <c r="B100" s="8" t="inlineStr">
        <is>
          <t>Paladin</t>
        </is>
      </c>
      <c r="C100" s="8" t="inlineStr">
        <is>
          <t>Oath of Vengeance</t>
        </is>
      </c>
      <c r="D100" s="8" t="inlineStr">
        <is>
          <t>Misty Step</t>
        </is>
      </c>
      <c r="E100" s="8" t="n">
        <v>2</v>
      </c>
      <c r="F100" s="8" t="n">
        <v>5</v>
      </c>
      <c r="G100" s="8">
        <f>IF(F100&lt;=Model!$B$24,"PAID","free with bundle")</f>
        <v/>
      </c>
      <c r="H100" s="8">
        <f>VLOOKUP(E100,Model!$A$27:$B$35,2,FALSE)</f>
        <v/>
      </c>
      <c r="I100" s="8">
        <f>MAX(Model!$B$22,H100-Model!$B$21)</f>
        <v/>
      </c>
      <c r="J100" s="8">
        <f>H100-I100</f>
        <v/>
      </c>
    </row>
    <row r="101">
      <c r="A101" s="8" t="inlineStr">
        <is>
          <t>Paladin|Oath of Vengeance</t>
        </is>
      </c>
      <c r="B101" s="8" t="inlineStr">
        <is>
          <t>Paladin</t>
        </is>
      </c>
      <c r="C101" s="8" t="inlineStr">
        <is>
          <t>Oath of Vengeance</t>
        </is>
      </c>
      <c r="D101" s="8" t="inlineStr">
        <is>
          <t>Haste</t>
        </is>
      </c>
      <c r="E101" s="8" t="n">
        <v>3</v>
      </c>
      <c r="F101" s="8" t="n">
        <v>9</v>
      </c>
      <c r="G101" s="8">
        <f>IF(F101&lt;=Model!$B$24,"PAID","free with bundle")</f>
        <v/>
      </c>
      <c r="H101" s="8" t="n">
        <v>0</v>
      </c>
      <c r="I101" s="8" t="n">
        <v>0</v>
      </c>
      <c r="J101" s="8">
        <f>H101-I101</f>
        <v/>
      </c>
    </row>
    <row r="102">
      <c r="A102" s="8" t="inlineStr">
        <is>
          <t>Paladin|Oath of Vengeance</t>
        </is>
      </c>
      <c r="B102" s="8" t="inlineStr">
        <is>
          <t>Paladin</t>
        </is>
      </c>
      <c r="C102" s="8" t="inlineStr">
        <is>
          <t>Oath of Vengeance</t>
        </is>
      </c>
      <c r="D102" s="8" t="inlineStr">
        <is>
          <t>Protection from Energy</t>
        </is>
      </c>
      <c r="E102" s="8" t="n">
        <v>3</v>
      </c>
      <c r="F102" s="8" t="n">
        <v>9</v>
      </c>
      <c r="G102" s="8">
        <f>IF(F102&lt;=Model!$B$24,"PAID","free with bundle")</f>
        <v/>
      </c>
      <c r="H102" s="8" t="n">
        <v>0</v>
      </c>
      <c r="I102" s="8" t="n">
        <v>0</v>
      </c>
      <c r="J102" s="8">
        <f>H102-I102</f>
        <v/>
      </c>
    </row>
    <row r="103">
      <c r="A103" s="8" t="inlineStr">
        <is>
          <t>Paladin|Oath of Vengeance</t>
        </is>
      </c>
      <c r="B103" s="8" t="inlineStr">
        <is>
          <t>Paladin</t>
        </is>
      </c>
      <c r="C103" s="8" t="inlineStr">
        <is>
          <t>Oath of Vengeance</t>
        </is>
      </c>
      <c r="D103" s="8" t="inlineStr">
        <is>
          <t>Banishment</t>
        </is>
      </c>
      <c r="E103" s="8" t="n">
        <v>4</v>
      </c>
      <c r="F103" s="8" t="n">
        <v>13</v>
      </c>
      <c r="G103" s="8">
        <f>IF(F103&lt;=Model!$B$24,"PAID","free with bundle")</f>
        <v/>
      </c>
      <c r="H103" s="8" t="n">
        <v>0</v>
      </c>
      <c r="I103" s="8" t="n">
        <v>0</v>
      </c>
      <c r="J103" s="8">
        <f>H103-I103</f>
        <v/>
      </c>
    </row>
    <row r="104">
      <c r="A104" s="8" t="inlineStr">
        <is>
          <t>Paladin|Oath of Vengeance</t>
        </is>
      </c>
      <c r="B104" s="8" t="inlineStr">
        <is>
          <t>Paladin</t>
        </is>
      </c>
      <c r="C104" s="8" t="inlineStr">
        <is>
          <t>Oath of Vengeance</t>
        </is>
      </c>
      <c r="D104" s="8" t="inlineStr">
        <is>
          <t>Dimension Door</t>
        </is>
      </c>
      <c r="E104" s="8" t="n">
        <v>4</v>
      </c>
      <c r="F104" s="8" t="n">
        <v>13</v>
      </c>
      <c r="G104" s="8">
        <f>IF(F104&lt;=Model!$B$24,"PAID","free with bundle")</f>
        <v/>
      </c>
      <c r="H104" s="8" t="n">
        <v>0</v>
      </c>
      <c r="I104" s="8" t="n">
        <v>0</v>
      </c>
      <c r="J104" s="8">
        <f>H104-I104</f>
        <v/>
      </c>
    </row>
    <row r="105">
      <c r="A105" s="8" t="inlineStr">
        <is>
          <t>Paladin|Oath of Vengeance</t>
        </is>
      </c>
      <c r="B105" s="8" t="inlineStr">
        <is>
          <t>Paladin</t>
        </is>
      </c>
      <c r="C105" s="8" t="inlineStr">
        <is>
          <t>Oath of Vengeance</t>
        </is>
      </c>
      <c r="D105" s="8" t="inlineStr">
        <is>
          <t>Hold Monster</t>
        </is>
      </c>
      <c r="E105" s="8" t="n">
        <v>5</v>
      </c>
      <c r="F105" s="8" t="n">
        <v>17</v>
      </c>
      <c r="G105" s="8">
        <f>IF(F105&lt;=Model!$B$24,"PAID","free with bundle")</f>
        <v/>
      </c>
      <c r="H105" s="8" t="n">
        <v>0</v>
      </c>
      <c r="I105" s="8" t="n">
        <v>0</v>
      </c>
      <c r="J105" s="8">
        <f>H105-I105</f>
        <v/>
      </c>
    </row>
    <row r="106">
      <c r="A106" s="8" t="inlineStr">
        <is>
          <t>Paladin|Oath of Vengeance</t>
        </is>
      </c>
      <c r="B106" s="8" t="inlineStr">
        <is>
          <t>Paladin</t>
        </is>
      </c>
      <c r="C106" s="8" t="inlineStr">
        <is>
          <t>Oath of Vengeance</t>
        </is>
      </c>
      <c r="D106" s="8" t="inlineStr">
        <is>
          <t>Scrying</t>
        </is>
      </c>
      <c r="E106" s="8" t="n">
        <v>5</v>
      </c>
      <c r="F106" s="8" t="n">
        <v>17</v>
      </c>
      <c r="G106" s="8">
        <f>IF(F106&lt;=Model!$B$24,"PAID","free with bundle")</f>
        <v/>
      </c>
      <c r="H106" s="8" t="n">
        <v>0</v>
      </c>
      <c r="I106" s="8" t="n">
        <v>0</v>
      </c>
      <c r="J106" s="8">
        <f>H106-I106</f>
        <v/>
      </c>
    </row>
    <row r="107">
      <c r="A107" s="8" t="inlineStr">
        <is>
          <t>Ranger|Fey Wanderer</t>
        </is>
      </c>
      <c r="B107" s="8" t="inlineStr">
        <is>
          <t>Ranger</t>
        </is>
      </c>
      <c r="C107" s="8" t="inlineStr">
        <is>
          <t>Fey Wanderer</t>
        </is>
      </c>
      <c r="D107" s="8" t="inlineStr">
        <is>
          <t>Charm Person</t>
        </is>
      </c>
      <c r="E107" s="8" t="n">
        <v>1</v>
      </c>
      <c r="F107" s="8" t="n">
        <v>3</v>
      </c>
      <c r="G107" s="8">
        <f>IF(F107&lt;=Model!$B$24,"PAID","free with bundle")</f>
        <v/>
      </c>
      <c r="H107" s="8">
        <f>VLOOKUP(E107,Model!$A$27:$B$35,2,FALSE)</f>
        <v/>
      </c>
      <c r="I107" s="8">
        <f>MAX(Model!$B$22,H107-Model!$B$21)</f>
        <v/>
      </c>
      <c r="J107" s="8">
        <f>H107-I107</f>
        <v/>
      </c>
    </row>
    <row r="108">
      <c r="A108" s="8" t="inlineStr">
        <is>
          <t>Ranger|Fey Wanderer</t>
        </is>
      </c>
      <c r="B108" s="8" t="inlineStr">
        <is>
          <t>Ranger</t>
        </is>
      </c>
      <c r="C108" s="8" t="inlineStr">
        <is>
          <t>Fey Wanderer</t>
        </is>
      </c>
      <c r="D108" s="8" t="inlineStr">
        <is>
          <t>Misty Step</t>
        </is>
      </c>
      <c r="E108" s="8" t="n">
        <v>2</v>
      </c>
      <c r="F108" s="8" t="n">
        <v>5</v>
      </c>
      <c r="G108" s="8">
        <f>IF(F108&lt;=Model!$B$24,"PAID","free with bundle")</f>
        <v/>
      </c>
      <c r="H108" s="8">
        <f>VLOOKUP(E108,Model!$A$27:$B$35,2,FALSE)</f>
        <v/>
      </c>
      <c r="I108" s="8">
        <f>MAX(Model!$B$22,H108-Model!$B$21)</f>
        <v/>
      </c>
      <c r="J108" s="8">
        <f>H108-I108</f>
        <v/>
      </c>
    </row>
    <row r="109">
      <c r="A109" s="8" t="inlineStr">
        <is>
          <t>Ranger|Fey Wanderer</t>
        </is>
      </c>
      <c r="B109" s="8" t="inlineStr">
        <is>
          <t>Ranger</t>
        </is>
      </c>
      <c r="C109" s="8" t="inlineStr">
        <is>
          <t>Fey Wanderer</t>
        </is>
      </c>
      <c r="D109" s="8" t="inlineStr">
        <is>
          <t>Summon Fey</t>
        </is>
      </c>
      <c r="E109" s="8" t="n">
        <v>3</v>
      </c>
      <c r="F109" s="8" t="n">
        <v>9</v>
      </c>
      <c r="G109" s="8">
        <f>IF(F109&lt;=Model!$B$24,"PAID","free with bundle")</f>
        <v/>
      </c>
      <c r="H109" s="8" t="n">
        <v>0</v>
      </c>
      <c r="I109" s="8" t="n">
        <v>0</v>
      </c>
      <c r="J109" s="8">
        <f>H109-I109</f>
        <v/>
      </c>
    </row>
    <row r="110">
      <c r="A110" s="8" t="inlineStr">
        <is>
          <t>Ranger|Fey Wanderer</t>
        </is>
      </c>
      <c r="B110" s="8" t="inlineStr">
        <is>
          <t>Ranger</t>
        </is>
      </c>
      <c r="C110" s="8" t="inlineStr">
        <is>
          <t>Fey Wanderer</t>
        </is>
      </c>
      <c r="D110" s="8" t="inlineStr">
        <is>
          <t>Dimension Door</t>
        </is>
      </c>
      <c r="E110" s="8" t="n">
        <v>4</v>
      </c>
      <c r="F110" s="8" t="n">
        <v>13</v>
      </c>
      <c r="G110" s="8">
        <f>IF(F110&lt;=Model!$B$24,"PAID","free with bundle")</f>
        <v/>
      </c>
      <c r="H110" s="8" t="n">
        <v>0</v>
      </c>
      <c r="I110" s="8" t="n">
        <v>0</v>
      </c>
      <c r="J110" s="8">
        <f>H110-I110</f>
        <v/>
      </c>
    </row>
    <row r="111">
      <c r="A111" s="8" t="inlineStr">
        <is>
          <t>Ranger|Fey Wanderer</t>
        </is>
      </c>
      <c r="B111" s="8" t="inlineStr">
        <is>
          <t>Ranger</t>
        </is>
      </c>
      <c r="C111" s="8" t="inlineStr">
        <is>
          <t>Fey Wanderer</t>
        </is>
      </c>
      <c r="D111" s="8" t="inlineStr">
        <is>
          <t>Mislead</t>
        </is>
      </c>
      <c r="E111" s="8" t="n">
        <v>5</v>
      </c>
      <c r="F111" s="8" t="n">
        <v>17</v>
      </c>
      <c r="G111" s="8">
        <f>IF(F111&lt;=Model!$B$24,"PAID","free with bundle")</f>
        <v/>
      </c>
      <c r="H111" s="8" t="n">
        <v>0</v>
      </c>
      <c r="I111" s="8" t="n">
        <v>0</v>
      </c>
      <c r="J111" s="8">
        <f>H111-I111</f>
        <v/>
      </c>
    </row>
    <row r="112">
      <c r="A112" s="8" t="inlineStr">
        <is>
          <t>Ranger|Gloom Stalker</t>
        </is>
      </c>
      <c r="B112" s="8" t="inlineStr">
        <is>
          <t>Ranger</t>
        </is>
      </c>
      <c r="C112" s="8" t="inlineStr">
        <is>
          <t>Gloom Stalker</t>
        </is>
      </c>
      <c r="D112" s="8" t="inlineStr">
        <is>
          <t>Disguise Self</t>
        </is>
      </c>
      <c r="E112" s="8" t="n">
        <v>1</v>
      </c>
      <c r="F112" s="8" t="n">
        <v>3</v>
      </c>
      <c r="G112" s="8">
        <f>IF(F112&lt;=Model!$B$24,"PAID","free with bundle")</f>
        <v/>
      </c>
      <c r="H112" s="8">
        <f>VLOOKUP(E112,Model!$A$27:$B$35,2,FALSE)</f>
        <v/>
      </c>
      <c r="I112" s="8">
        <f>MAX(Model!$B$22,H112-Model!$B$21)</f>
        <v/>
      </c>
      <c r="J112" s="8">
        <f>H112-I112</f>
        <v/>
      </c>
    </row>
    <row r="113">
      <c r="A113" s="8" t="inlineStr">
        <is>
          <t>Ranger|Gloom Stalker</t>
        </is>
      </c>
      <c r="B113" s="8" t="inlineStr">
        <is>
          <t>Ranger</t>
        </is>
      </c>
      <c r="C113" s="8" t="inlineStr">
        <is>
          <t>Gloom Stalker</t>
        </is>
      </c>
      <c r="D113" s="8" t="inlineStr">
        <is>
          <t>Rope Trick</t>
        </is>
      </c>
      <c r="E113" s="8" t="n">
        <v>2</v>
      </c>
      <c r="F113" s="8" t="n">
        <v>5</v>
      </c>
      <c r="G113" s="8">
        <f>IF(F113&lt;=Model!$B$24,"PAID","free with bundle")</f>
        <v/>
      </c>
      <c r="H113" s="8">
        <f>VLOOKUP(E113,Model!$A$27:$B$35,2,FALSE)</f>
        <v/>
      </c>
      <c r="I113" s="8">
        <f>MAX(Model!$B$22,H113-Model!$B$21)</f>
        <v/>
      </c>
      <c r="J113" s="8">
        <f>H113-I113</f>
        <v/>
      </c>
    </row>
    <row r="114">
      <c r="A114" s="8" t="inlineStr">
        <is>
          <t>Ranger|Gloom Stalker</t>
        </is>
      </c>
      <c r="B114" s="8" t="inlineStr">
        <is>
          <t>Ranger</t>
        </is>
      </c>
      <c r="C114" s="8" t="inlineStr">
        <is>
          <t>Gloom Stalker</t>
        </is>
      </c>
      <c r="D114" s="8" t="inlineStr">
        <is>
          <t>Fear</t>
        </is>
      </c>
      <c r="E114" s="8" t="n">
        <v>3</v>
      </c>
      <c r="F114" s="8" t="n">
        <v>9</v>
      </c>
      <c r="G114" s="8">
        <f>IF(F114&lt;=Model!$B$24,"PAID","free with bundle")</f>
        <v/>
      </c>
      <c r="H114" s="8" t="n">
        <v>0</v>
      </c>
      <c r="I114" s="8" t="n">
        <v>0</v>
      </c>
      <c r="J114" s="8">
        <f>H114-I114</f>
        <v/>
      </c>
    </row>
    <row r="115">
      <c r="A115" s="8" t="inlineStr">
        <is>
          <t>Ranger|Gloom Stalker</t>
        </is>
      </c>
      <c r="B115" s="8" t="inlineStr">
        <is>
          <t>Ranger</t>
        </is>
      </c>
      <c r="C115" s="8" t="inlineStr">
        <is>
          <t>Gloom Stalker</t>
        </is>
      </c>
      <c r="D115" s="8" t="inlineStr">
        <is>
          <t>Greater Invisibility</t>
        </is>
      </c>
      <c r="E115" s="8" t="n">
        <v>4</v>
      </c>
      <c r="F115" s="8" t="n">
        <v>13</v>
      </c>
      <c r="G115" s="8">
        <f>IF(F115&lt;=Model!$B$24,"PAID","free with bundle")</f>
        <v/>
      </c>
      <c r="H115" s="8" t="n">
        <v>0</v>
      </c>
      <c r="I115" s="8" t="n">
        <v>0</v>
      </c>
      <c r="J115" s="8">
        <f>H115-I115</f>
        <v/>
      </c>
    </row>
    <row r="116">
      <c r="A116" s="8" t="inlineStr">
        <is>
          <t>Ranger|Gloom Stalker</t>
        </is>
      </c>
      <c r="B116" s="8" t="inlineStr">
        <is>
          <t>Ranger</t>
        </is>
      </c>
      <c r="C116" s="8" t="inlineStr">
        <is>
          <t>Gloom Stalker</t>
        </is>
      </c>
      <c r="D116" s="8" t="inlineStr">
        <is>
          <t>Seeming</t>
        </is>
      </c>
      <c r="E116" s="8" t="n">
        <v>5</v>
      </c>
      <c r="F116" s="8" t="n">
        <v>17</v>
      </c>
      <c r="G116" s="8">
        <f>IF(F116&lt;=Model!$B$24,"PAID","free with bundle")</f>
        <v/>
      </c>
      <c r="H116" s="8" t="n">
        <v>0</v>
      </c>
      <c r="I116" s="8" t="n">
        <v>0</v>
      </c>
      <c r="J116" s="8">
        <f>H116-I116</f>
        <v/>
      </c>
    </row>
    <row r="117">
      <c r="A117" s="8" t="inlineStr">
        <is>
          <t>Sorcerer|Aberrant Sorcery</t>
        </is>
      </c>
      <c r="B117" s="8" t="inlineStr">
        <is>
          <t>Sorcerer</t>
        </is>
      </c>
      <c r="C117" s="8" t="inlineStr">
        <is>
          <t>Aberrant Sorcery</t>
        </is>
      </c>
      <c r="D117" s="8" t="inlineStr">
        <is>
          <t>Mind Sliver</t>
        </is>
      </c>
      <c r="E117" s="8" t="n">
        <v>0</v>
      </c>
      <c r="F117" s="8" t="n">
        <v>3</v>
      </c>
      <c r="G117" s="8">
        <f>IF(F117&lt;=Model!$B$24,"PAID","free with bundle")</f>
        <v/>
      </c>
      <c r="H117" s="8">
        <f>Model!$B$23</f>
        <v/>
      </c>
      <c r="I117" s="8">
        <f>Model!$B$23</f>
        <v/>
      </c>
      <c r="J117" s="8">
        <f>H117-I117</f>
        <v/>
      </c>
    </row>
    <row r="118">
      <c r="A118" s="8" t="inlineStr">
        <is>
          <t>Sorcerer|Aberrant Sorcery</t>
        </is>
      </c>
      <c r="B118" s="8" t="inlineStr">
        <is>
          <t>Sorcerer</t>
        </is>
      </c>
      <c r="C118" s="8" t="inlineStr">
        <is>
          <t>Aberrant Sorcery</t>
        </is>
      </c>
      <c r="D118" s="8" t="inlineStr">
        <is>
          <t>Arms of Hadar</t>
        </is>
      </c>
      <c r="E118" s="8" t="n">
        <v>1</v>
      </c>
      <c r="F118" s="8" t="n">
        <v>3</v>
      </c>
      <c r="G118" s="8">
        <f>IF(F118&lt;=Model!$B$24,"PAID","free with bundle")</f>
        <v/>
      </c>
      <c r="H118" s="8">
        <f>VLOOKUP(E118,Model!$A$27:$B$35,2,FALSE)</f>
        <v/>
      </c>
      <c r="I118" s="8">
        <f>MAX(Model!$B$22,H118-Model!$B$21)</f>
        <v/>
      </c>
      <c r="J118" s="8">
        <f>H118-I118</f>
        <v/>
      </c>
    </row>
    <row r="119">
      <c r="A119" s="8" t="inlineStr">
        <is>
          <t>Sorcerer|Aberrant Sorcery</t>
        </is>
      </c>
      <c r="B119" s="8" t="inlineStr">
        <is>
          <t>Sorcerer</t>
        </is>
      </c>
      <c r="C119" s="8" t="inlineStr">
        <is>
          <t>Aberrant Sorcery</t>
        </is>
      </c>
      <c r="D119" s="8" t="inlineStr">
        <is>
          <t>Dissonant Whispers</t>
        </is>
      </c>
      <c r="E119" s="8" t="n">
        <v>1</v>
      </c>
      <c r="F119" s="8" t="n">
        <v>3</v>
      </c>
      <c r="G119" s="8">
        <f>IF(F119&lt;=Model!$B$24,"PAID","free with bundle")</f>
        <v/>
      </c>
      <c r="H119" s="8">
        <f>VLOOKUP(E119,Model!$A$27:$B$35,2,FALSE)</f>
        <v/>
      </c>
      <c r="I119" s="8">
        <f>MAX(Model!$B$22,H119-Model!$B$21)</f>
        <v/>
      </c>
      <c r="J119" s="8">
        <f>H119-I119</f>
        <v/>
      </c>
    </row>
    <row r="120">
      <c r="A120" s="8" t="inlineStr">
        <is>
          <t>Sorcerer|Aberrant Sorcery</t>
        </is>
      </c>
      <c r="B120" s="8" t="inlineStr">
        <is>
          <t>Sorcerer</t>
        </is>
      </c>
      <c r="C120" s="8" t="inlineStr">
        <is>
          <t>Aberrant Sorcery</t>
        </is>
      </c>
      <c r="D120" s="8" t="inlineStr">
        <is>
          <t>Calm Emotions</t>
        </is>
      </c>
      <c r="E120" s="8" t="n">
        <v>2</v>
      </c>
      <c r="F120" s="8" t="n">
        <v>3</v>
      </c>
      <c r="G120" s="8">
        <f>IF(F120&lt;=Model!$B$24,"PAID","free with bundle")</f>
        <v/>
      </c>
      <c r="H120" s="8">
        <f>VLOOKUP(E120,Model!$A$27:$B$35,2,FALSE)</f>
        <v/>
      </c>
      <c r="I120" s="8">
        <f>MAX(Model!$B$22,H120-Model!$B$21)</f>
        <v/>
      </c>
      <c r="J120" s="8">
        <f>H120-I120</f>
        <v/>
      </c>
    </row>
    <row r="121">
      <c r="A121" s="8" t="inlineStr">
        <is>
          <t>Sorcerer|Aberrant Sorcery</t>
        </is>
      </c>
      <c r="B121" s="8" t="inlineStr">
        <is>
          <t>Sorcerer</t>
        </is>
      </c>
      <c r="C121" s="8" t="inlineStr">
        <is>
          <t>Aberrant Sorcery</t>
        </is>
      </c>
      <c r="D121" s="8" t="inlineStr">
        <is>
          <t>Detect Thoughts</t>
        </is>
      </c>
      <c r="E121" s="8" t="n">
        <v>2</v>
      </c>
      <c r="F121" s="8" t="n">
        <v>3</v>
      </c>
      <c r="G121" s="8">
        <f>IF(F121&lt;=Model!$B$24,"PAID","free with bundle")</f>
        <v/>
      </c>
      <c r="H121" s="8">
        <f>VLOOKUP(E121,Model!$A$27:$B$35,2,FALSE)</f>
        <v/>
      </c>
      <c r="I121" s="8">
        <f>MAX(Model!$B$22,H121-Model!$B$21)</f>
        <v/>
      </c>
      <c r="J121" s="8">
        <f>H121-I121</f>
        <v/>
      </c>
    </row>
    <row r="122">
      <c r="A122" s="8" t="inlineStr">
        <is>
          <t>Sorcerer|Aberrant Sorcery</t>
        </is>
      </c>
      <c r="B122" s="8" t="inlineStr">
        <is>
          <t>Sorcerer</t>
        </is>
      </c>
      <c r="C122" s="8" t="inlineStr">
        <is>
          <t>Aberrant Sorcery</t>
        </is>
      </c>
      <c r="D122" s="8" t="inlineStr">
        <is>
          <t>Hunger of Hadar</t>
        </is>
      </c>
      <c r="E122" s="8" t="n">
        <v>3</v>
      </c>
      <c r="F122" s="8" t="n">
        <v>5</v>
      </c>
      <c r="G122" s="8">
        <f>IF(F122&lt;=Model!$B$24,"PAID","free with bundle")</f>
        <v/>
      </c>
      <c r="H122" s="8">
        <f>VLOOKUP(E122,Model!$A$27:$B$35,2,FALSE)</f>
        <v/>
      </c>
      <c r="I122" s="8">
        <f>MAX(Model!$B$22,H122-Model!$B$21)</f>
        <v/>
      </c>
      <c r="J122" s="8">
        <f>H122-I122</f>
        <v/>
      </c>
    </row>
    <row r="123">
      <c r="A123" s="8" t="inlineStr">
        <is>
          <t>Sorcerer|Aberrant Sorcery</t>
        </is>
      </c>
      <c r="B123" s="8" t="inlineStr">
        <is>
          <t>Sorcerer</t>
        </is>
      </c>
      <c r="C123" s="8" t="inlineStr">
        <is>
          <t>Aberrant Sorcery</t>
        </is>
      </c>
      <c r="D123" s="8" t="inlineStr">
        <is>
          <t>Sending</t>
        </is>
      </c>
      <c r="E123" s="8" t="n">
        <v>3</v>
      </c>
      <c r="F123" s="8" t="n">
        <v>5</v>
      </c>
      <c r="G123" s="8">
        <f>IF(F123&lt;=Model!$B$24,"PAID","free with bundle")</f>
        <v/>
      </c>
      <c r="H123" s="8">
        <f>VLOOKUP(E123,Model!$A$27:$B$35,2,FALSE)</f>
        <v/>
      </c>
      <c r="I123" s="8">
        <f>MAX(Model!$B$22,H123-Model!$B$21)</f>
        <v/>
      </c>
      <c r="J123" s="8">
        <f>H123-I123</f>
        <v/>
      </c>
    </row>
    <row r="124">
      <c r="A124" s="8" t="inlineStr">
        <is>
          <t>Sorcerer|Aberrant Sorcery</t>
        </is>
      </c>
      <c r="B124" s="8" t="inlineStr">
        <is>
          <t>Sorcerer</t>
        </is>
      </c>
      <c r="C124" s="8" t="inlineStr">
        <is>
          <t>Aberrant Sorcery</t>
        </is>
      </c>
      <c r="D124" s="8" t="inlineStr">
        <is>
          <t>Evard's Black Tentacles</t>
        </is>
      </c>
      <c r="E124" s="8" t="n">
        <v>4</v>
      </c>
      <c r="F124" s="8" t="n">
        <v>7</v>
      </c>
      <c r="G124" s="8">
        <f>IF(F124&lt;=Model!$B$24,"PAID","free with bundle")</f>
        <v/>
      </c>
      <c r="H124" s="8" t="n">
        <v>0</v>
      </c>
      <c r="I124" s="8" t="n">
        <v>0</v>
      </c>
      <c r="J124" s="8">
        <f>H124-I124</f>
        <v/>
      </c>
    </row>
    <row r="125">
      <c r="A125" s="8" t="inlineStr">
        <is>
          <t>Sorcerer|Aberrant Sorcery</t>
        </is>
      </c>
      <c r="B125" s="8" t="inlineStr">
        <is>
          <t>Sorcerer</t>
        </is>
      </c>
      <c r="C125" s="8" t="inlineStr">
        <is>
          <t>Aberrant Sorcery</t>
        </is>
      </c>
      <c r="D125" s="8" t="inlineStr">
        <is>
          <t>Summon Aberration</t>
        </is>
      </c>
      <c r="E125" s="8" t="n">
        <v>4</v>
      </c>
      <c r="F125" s="8" t="n">
        <v>7</v>
      </c>
      <c r="G125" s="8">
        <f>IF(F125&lt;=Model!$B$24,"PAID","free with bundle")</f>
        <v/>
      </c>
      <c r="H125" s="8" t="n">
        <v>0</v>
      </c>
      <c r="I125" s="8" t="n">
        <v>0</v>
      </c>
      <c r="J125" s="8">
        <f>H125-I125</f>
        <v/>
      </c>
    </row>
    <row r="126">
      <c r="A126" s="8" t="inlineStr">
        <is>
          <t>Sorcerer|Aberrant Sorcery</t>
        </is>
      </c>
      <c r="B126" s="8" t="inlineStr">
        <is>
          <t>Sorcerer</t>
        </is>
      </c>
      <c r="C126" s="8" t="inlineStr">
        <is>
          <t>Aberrant Sorcery</t>
        </is>
      </c>
      <c r="D126" s="8" t="inlineStr">
        <is>
          <t>Rary's Telepathic Bond</t>
        </is>
      </c>
      <c r="E126" s="8" t="n">
        <v>5</v>
      </c>
      <c r="F126" s="8" t="n">
        <v>9</v>
      </c>
      <c r="G126" s="8">
        <f>IF(F126&lt;=Model!$B$24,"PAID","free with bundle")</f>
        <v/>
      </c>
      <c r="H126" s="8" t="n">
        <v>0</v>
      </c>
      <c r="I126" s="8" t="n">
        <v>0</v>
      </c>
      <c r="J126" s="8">
        <f>H126-I126</f>
        <v/>
      </c>
    </row>
    <row r="127">
      <c r="A127" s="8" t="inlineStr">
        <is>
          <t>Sorcerer|Aberrant Sorcery</t>
        </is>
      </c>
      <c r="B127" s="8" t="inlineStr">
        <is>
          <t>Sorcerer</t>
        </is>
      </c>
      <c r="C127" s="8" t="inlineStr">
        <is>
          <t>Aberrant Sorcery</t>
        </is>
      </c>
      <c r="D127" s="8" t="inlineStr">
        <is>
          <t>Telekinesis</t>
        </is>
      </c>
      <c r="E127" s="8" t="n">
        <v>5</v>
      </c>
      <c r="F127" s="8" t="n">
        <v>9</v>
      </c>
      <c r="G127" s="8">
        <f>IF(F127&lt;=Model!$B$24,"PAID","free with bundle")</f>
        <v/>
      </c>
      <c r="H127" s="8" t="n">
        <v>0</v>
      </c>
      <c r="I127" s="8" t="n">
        <v>0</v>
      </c>
      <c r="J127" s="8">
        <f>H127-I127</f>
        <v/>
      </c>
    </row>
    <row r="128">
      <c r="A128" s="8" t="inlineStr">
        <is>
          <t>Sorcerer|Clockwork Sorcery</t>
        </is>
      </c>
      <c r="B128" s="8" t="inlineStr">
        <is>
          <t>Sorcerer</t>
        </is>
      </c>
      <c r="C128" s="8" t="inlineStr">
        <is>
          <t>Clockwork Sorcery</t>
        </is>
      </c>
      <c r="D128" s="8" t="inlineStr">
        <is>
          <t>Alarm</t>
        </is>
      </c>
      <c r="E128" s="8" t="n">
        <v>1</v>
      </c>
      <c r="F128" s="8" t="n">
        <v>3</v>
      </c>
      <c r="G128" s="8">
        <f>IF(F128&lt;=Model!$B$24,"PAID","free with bundle")</f>
        <v/>
      </c>
      <c r="H128" s="8">
        <f>VLOOKUP(E128,Model!$A$27:$B$35,2,FALSE)</f>
        <v/>
      </c>
      <c r="I128" s="8">
        <f>MAX(Model!$B$22,H128-Model!$B$21)</f>
        <v/>
      </c>
      <c r="J128" s="8">
        <f>H128-I128</f>
        <v/>
      </c>
    </row>
    <row r="129">
      <c r="A129" s="8" t="inlineStr">
        <is>
          <t>Sorcerer|Clockwork Sorcery</t>
        </is>
      </c>
      <c r="B129" s="8" t="inlineStr">
        <is>
          <t>Sorcerer</t>
        </is>
      </c>
      <c r="C129" s="8" t="inlineStr">
        <is>
          <t>Clockwork Sorcery</t>
        </is>
      </c>
      <c r="D129" s="8" t="inlineStr">
        <is>
          <t>Protection from Evil and Good</t>
        </is>
      </c>
      <c r="E129" s="8" t="n">
        <v>1</v>
      </c>
      <c r="F129" s="8" t="n">
        <v>3</v>
      </c>
      <c r="G129" s="8">
        <f>IF(F129&lt;=Model!$B$24,"PAID","free with bundle")</f>
        <v/>
      </c>
      <c r="H129" s="8">
        <f>VLOOKUP(E129,Model!$A$27:$B$35,2,FALSE)</f>
        <v/>
      </c>
      <c r="I129" s="8">
        <f>MAX(Model!$B$22,H129-Model!$B$21)</f>
        <v/>
      </c>
      <c r="J129" s="8">
        <f>H129-I129</f>
        <v/>
      </c>
    </row>
    <row r="130">
      <c r="A130" s="8" t="inlineStr">
        <is>
          <t>Sorcerer|Clockwork Sorcery</t>
        </is>
      </c>
      <c r="B130" s="8" t="inlineStr">
        <is>
          <t>Sorcerer</t>
        </is>
      </c>
      <c r="C130" s="8" t="inlineStr">
        <is>
          <t>Clockwork Sorcery</t>
        </is>
      </c>
      <c r="D130" s="8" t="inlineStr">
        <is>
          <t>Aid</t>
        </is>
      </c>
      <c r="E130" s="8" t="n">
        <v>2</v>
      </c>
      <c r="F130" s="8" t="n">
        <v>3</v>
      </c>
      <c r="G130" s="8">
        <f>IF(F130&lt;=Model!$B$24,"PAID","free with bundle")</f>
        <v/>
      </c>
      <c r="H130" s="8">
        <f>VLOOKUP(E130,Model!$A$27:$B$35,2,FALSE)</f>
        <v/>
      </c>
      <c r="I130" s="8">
        <f>MAX(Model!$B$22,H130-Model!$B$21)</f>
        <v/>
      </c>
      <c r="J130" s="8">
        <f>H130-I130</f>
        <v/>
      </c>
    </row>
    <row r="131">
      <c r="A131" s="8" t="inlineStr">
        <is>
          <t>Sorcerer|Clockwork Sorcery</t>
        </is>
      </c>
      <c r="B131" s="8" t="inlineStr">
        <is>
          <t>Sorcerer</t>
        </is>
      </c>
      <c r="C131" s="8" t="inlineStr">
        <is>
          <t>Clockwork Sorcery</t>
        </is>
      </c>
      <c r="D131" s="8" t="inlineStr">
        <is>
          <t>Lesser Restoration</t>
        </is>
      </c>
      <c r="E131" s="8" t="n">
        <v>2</v>
      </c>
      <c r="F131" s="8" t="n">
        <v>3</v>
      </c>
      <c r="G131" s="8">
        <f>IF(F131&lt;=Model!$B$24,"PAID","free with bundle")</f>
        <v/>
      </c>
      <c r="H131" s="8">
        <f>VLOOKUP(E131,Model!$A$27:$B$35,2,FALSE)</f>
        <v/>
      </c>
      <c r="I131" s="8">
        <f>MAX(Model!$B$22,H131-Model!$B$21)</f>
        <v/>
      </c>
      <c r="J131" s="8">
        <f>H131-I131</f>
        <v/>
      </c>
    </row>
    <row r="132">
      <c r="A132" s="8" t="inlineStr">
        <is>
          <t>Sorcerer|Clockwork Sorcery</t>
        </is>
      </c>
      <c r="B132" s="8" t="inlineStr">
        <is>
          <t>Sorcerer</t>
        </is>
      </c>
      <c r="C132" s="8" t="inlineStr">
        <is>
          <t>Clockwork Sorcery</t>
        </is>
      </c>
      <c r="D132" s="8" t="inlineStr">
        <is>
          <t>Dispel Magic</t>
        </is>
      </c>
      <c r="E132" s="8" t="n">
        <v>3</v>
      </c>
      <c r="F132" s="8" t="n">
        <v>5</v>
      </c>
      <c r="G132" s="8">
        <f>IF(F132&lt;=Model!$B$24,"PAID","free with bundle")</f>
        <v/>
      </c>
      <c r="H132" s="8">
        <f>VLOOKUP(E132,Model!$A$27:$B$35,2,FALSE)</f>
        <v/>
      </c>
      <c r="I132" s="8">
        <f>MAX(Model!$B$22,H132-Model!$B$21)</f>
        <v/>
      </c>
      <c r="J132" s="8">
        <f>H132-I132</f>
        <v/>
      </c>
    </row>
    <row r="133">
      <c r="A133" s="8" t="inlineStr">
        <is>
          <t>Sorcerer|Clockwork Sorcery</t>
        </is>
      </c>
      <c r="B133" s="8" t="inlineStr">
        <is>
          <t>Sorcerer</t>
        </is>
      </c>
      <c r="C133" s="8" t="inlineStr">
        <is>
          <t>Clockwork Sorcery</t>
        </is>
      </c>
      <c r="D133" s="8" t="inlineStr">
        <is>
          <t>Protection from Energy</t>
        </is>
      </c>
      <c r="E133" s="8" t="n">
        <v>3</v>
      </c>
      <c r="F133" s="8" t="n">
        <v>5</v>
      </c>
      <c r="G133" s="8">
        <f>IF(F133&lt;=Model!$B$24,"PAID","free with bundle")</f>
        <v/>
      </c>
      <c r="H133" s="8">
        <f>VLOOKUP(E133,Model!$A$27:$B$35,2,FALSE)</f>
        <v/>
      </c>
      <c r="I133" s="8">
        <f>MAX(Model!$B$22,H133-Model!$B$21)</f>
        <v/>
      </c>
      <c r="J133" s="8">
        <f>H133-I133</f>
        <v/>
      </c>
    </row>
    <row r="134">
      <c r="A134" s="8" t="inlineStr">
        <is>
          <t>Sorcerer|Clockwork Sorcery</t>
        </is>
      </c>
      <c r="B134" s="8" t="inlineStr">
        <is>
          <t>Sorcerer</t>
        </is>
      </c>
      <c r="C134" s="8" t="inlineStr">
        <is>
          <t>Clockwork Sorcery</t>
        </is>
      </c>
      <c r="D134" s="8" t="inlineStr">
        <is>
          <t>Freedom of Movement</t>
        </is>
      </c>
      <c r="E134" s="8" t="n">
        <v>4</v>
      </c>
      <c r="F134" s="8" t="n">
        <v>7</v>
      </c>
      <c r="G134" s="8">
        <f>IF(F134&lt;=Model!$B$24,"PAID","free with bundle")</f>
        <v/>
      </c>
      <c r="H134" s="8" t="n">
        <v>0</v>
      </c>
      <c r="I134" s="8" t="n">
        <v>0</v>
      </c>
      <c r="J134" s="8">
        <f>H134-I134</f>
        <v/>
      </c>
    </row>
    <row r="135">
      <c r="A135" s="8" t="inlineStr">
        <is>
          <t>Sorcerer|Clockwork Sorcery</t>
        </is>
      </c>
      <c r="B135" s="8" t="inlineStr">
        <is>
          <t>Sorcerer</t>
        </is>
      </c>
      <c r="C135" s="8" t="inlineStr">
        <is>
          <t>Clockwork Sorcery</t>
        </is>
      </c>
      <c r="D135" s="8" t="inlineStr">
        <is>
          <t>Summon Construct</t>
        </is>
      </c>
      <c r="E135" s="8" t="n">
        <v>4</v>
      </c>
      <c r="F135" s="8" t="n">
        <v>7</v>
      </c>
      <c r="G135" s="8">
        <f>IF(F135&lt;=Model!$B$24,"PAID","free with bundle")</f>
        <v/>
      </c>
      <c r="H135" s="8" t="n">
        <v>0</v>
      </c>
      <c r="I135" s="8" t="n">
        <v>0</v>
      </c>
      <c r="J135" s="8">
        <f>H135-I135</f>
        <v/>
      </c>
    </row>
    <row r="136">
      <c r="A136" s="8" t="inlineStr">
        <is>
          <t>Sorcerer|Clockwork Sorcery</t>
        </is>
      </c>
      <c r="B136" s="8" t="inlineStr">
        <is>
          <t>Sorcerer</t>
        </is>
      </c>
      <c r="C136" s="8" t="inlineStr">
        <is>
          <t>Clockwork Sorcery</t>
        </is>
      </c>
      <c r="D136" s="8" t="inlineStr">
        <is>
          <t>Greater Restoration</t>
        </is>
      </c>
      <c r="E136" s="8" t="n">
        <v>5</v>
      </c>
      <c r="F136" s="8" t="n">
        <v>9</v>
      </c>
      <c r="G136" s="8">
        <f>IF(F136&lt;=Model!$B$24,"PAID","free with bundle")</f>
        <v/>
      </c>
      <c r="H136" s="8" t="n">
        <v>0</v>
      </c>
      <c r="I136" s="8" t="n">
        <v>0</v>
      </c>
      <c r="J136" s="8">
        <f>H136-I136</f>
        <v/>
      </c>
    </row>
    <row r="137">
      <c r="A137" s="8" t="inlineStr">
        <is>
          <t>Sorcerer|Clockwork Sorcery</t>
        </is>
      </c>
      <c r="B137" s="8" t="inlineStr">
        <is>
          <t>Sorcerer</t>
        </is>
      </c>
      <c r="C137" s="8" t="inlineStr">
        <is>
          <t>Clockwork Sorcery</t>
        </is>
      </c>
      <c r="D137" s="8" t="inlineStr">
        <is>
          <t>Wall of Force</t>
        </is>
      </c>
      <c r="E137" s="8" t="n">
        <v>5</v>
      </c>
      <c r="F137" s="8" t="n">
        <v>9</v>
      </c>
      <c r="G137" s="8">
        <f>IF(F137&lt;=Model!$B$24,"PAID","free with bundle")</f>
        <v/>
      </c>
      <c r="H137" s="8" t="n">
        <v>0</v>
      </c>
      <c r="I137" s="8" t="n">
        <v>0</v>
      </c>
      <c r="J137" s="8">
        <f>H137-I137</f>
        <v/>
      </c>
    </row>
    <row r="138">
      <c r="A138" s="8" t="inlineStr">
        <is>
          <t>Sorcerer|Draconic Sorcery</t>
        </is>
      </c>
      <c r="B138" s="8" t="inlineStr">
        <is>
          <t>Sorcerer</t>
        </is>
      </c>
      <c r="C138" s="8" t="inlineStr">
        <is>
          <t>Draconic Sorcery</t>
        </is>
      </c>
      <c r="D138" s="8" t="inlineStr">
        <is>
          <t>Chromatic Orb</t>
        </is>
      </c>
      <c r="E138" s="8" t="n">
        <v>1</v>
      </c>
      <c r="F138" s="8" t="n">
        <v>3</v>
      </c>
      <c r="G138" s="8">
        <f>IF(F138&lt;=Model!$B$24,"PAID","free with bundle")</f>
        <v/>
      </c>
      <c r="H138" s="8">
        <f>VLOOKUP(E138,Model!$A$27:$B$35,2,FALSE)</f>
        <v/>
      </c>
      <c r="I138" s="8">
        <f>MAX(Model!$B$22,H138-Model!$B$21)</f>
        <v/>
      </c>
      <c r="J138" s="8">
        <f>H138-I138</f>
        <v/>
      </c>
    </row>
    <row r="139">
      <c r="A139" s="8" t="inlineStr">
        <is>
          <t>Sorcerer|Draconic Sorcery</t>
        </is>
      </c>
      <c r="B139" s="8" t="inlineStr">
        <is>
          <t>Sorcerer</t>
        </is>
      </c>
      <c r="C139" s="8" t="inlineStr">
        <is>
          <t>Draconic Sorcery</t>
        </is>
      </c>
      <c r="D139" s="8" t="inlineStr">
        <is>
          <t>Command</t>
        </is>
      </c>
      <c r="E139" s="8" t="n">
        <v>1</v>
      </c>
      <c r="F139" s="8" t="n">
        <v>3</v>
      </c>
      <c r="G139" s="8">
        <f>IF(F139&lt;=Model!$B$24,"PAID","free with bundle")</f>
        <v/>
      </c>
      <c r="H139" s="8">
        <f>VLOOKUP(E139,Model!$A$27:$B$35,2,FALSE)</f>
        <v/>
      </c>
      <c r="I139" s="8">
        <f>MAX(Model!$B$22,H139-Model!$B$21)</f>
        <v/>
      </c>
      <c r="J139" s="8">
        <f>H139-I139</f>
        <v/>
      </c>
    </row>
    <row r="140">
      <c r="A140" s="8" t="inlineStr">
        <is>
          <t>Sorcerer|Draconic Sorcery</t>
        </is>
      </c>
      <c r="B140" s="8" t="inlineStr">
        <is>
          <t>Sorcerer</t>
        </is>
      </c>
      <c r="C140" s="8" t="inlineStr">
        <is>
          <t>Draconic Sorcery</t>
        </is>
      </c>
      <c r="D140" s="8" t="inlineStr">
        <is>
          <t>Alter Self</t>
        </is>
      </c>
      <c r="E140" s="8" t="n">
        <v>2</v>
      </c>
      <c r="F140" s="8" t="n">
        <v>3</v>
      </c>
      <c r="G140" s="8">
        <f>IF(F140&lt;=Model!$B$24,"PAID","free with bundle")</f>
        <v/>
      </c>
      <c r="H140" s="8">
        <f>VLOOKUP(E140,Model!$A$27:$B$35,2,FALSE)</f>
        <v/>
      </c>
      <c r="I140" s="8">
        <f>MAX(Model!$B$22,H140-Model!$B$21)</f>
        <v/>
      </c>
      <c r="J140" s="8">
        <f>H140-I140</f>
        <v/>
      </c>
    </row>
    <row r="141">
      <c r="A141" s="8" t="inlineStr">
        <is>
          <t>Sorcerer|Draconic Sorcery</t>
        </is>
      </c>
      <c r="B141" s="8" t="inlineStr">
        <is>
          <t>Sorcerer</t>
        </is>
      </c>
      <c r="C141" s="8" t="inlineStr">
        <is>
          <t>Draconic Sorcery</t>
        </is>
      </c>
      <c r="D141" s="8" t="inlineStr">
        <is>
          <t>Dragon's Breath</t>
        </is>
      </c>
      <c r="E141" s="8" t="n">
        <v>2</v>
      </c>
      <c r="F141" s="8" t="n">
        <v>3</v>
      </c>
      <c r="G141" s="8">
        <f>IF(F141&lt;=Model!$B$24,"PAID","free with bundle")</f>
        <v/>
      </c>
      <c r="H141" s="8">
        <f>VLOOKUP(E141,Model!$A$27:$B$35,2,FALSE)</f>
        <v/>
      </c>
      <c r="I141" s="8">
        <f>MAX(Model!$B$22,H141-Model!$B$21)</f>
        <v/>
      </c>
      <c r="J141" s="8">
        <f>H141-I141</f>
        <v/>
      </c>
    </row>
    <row r="142">
      <c r="A142" s="8" t="inlineStr">
        <is>
          <t>Sorcerer|Draconic Sorcery</t>
        </is>
      </c>
      <c r="B142" s="8" t="inlineStr">
        <is>
          <t>Sorcerer</t>
        </is>
      </c>
      <c r="C142" s="8" t="inlineStr">
        <is>
          <t>Draconic Sorcery</t>
        </is>
      </c>
      <c r="D142" s="8" t="inlineStr">
        <is>
          <t>Fear</t>
        </is>
      </c>
      <c r="E142" s="8" t="n">
        <v>3</v>
      </c>
      <c r="F142" s="8" t="n">
        <v>5</v>
      </c>
      <c r="G142" s="8">
        <f>IF(F142&lt;=Model!$B$24,"PAID","free with bundle")</f>
        <v/>
      </c>
      <c r="H142" s="8">
        <f>VLOOKUP(E142,Model!$A$27:$B$35,2,FALSE)</f>
        <v/>
      </c>
      <c r="I142" s="8">
        <f>MAX(Model!$B$22,H142-Model!$B$21)</f>
        <v/>
      </c>
      <c r="J142" s="8">
        <f>H142-I142</f>
        <v/>
      </c>
    </row>
    <row r="143">
      <c r="A143" s="8" t="inlineStr">
        <is>
          <t>Sorcerer|Draconic Sorcery</t>
        </is>
      </c>
      <c r="B143" s="8" t="inlineStr">
        <is>
          <t>Sorcerer</t>
        </is>
      </c>
      <c r="C143" s="8" t="inlineStr">
        <is>
          <t>Draconic Sorcery</t>
        </is>
      </c>
      <c r="D143" s="8" t="inlineStr">
        <is>
          <t>Fly</t>
        </is>
      </c>
      <c r="E143" s="8" t="n">
        <v>3</v>
      </c>
      <c r="F143" s="8" t="n">
        <v>5</v>
      </c>
      <c r="G143" s="8">
        <f>IF(F143&lt;=Model!$B$24,"PAID","free with bundle")</f>
        <v/>
      </c>
      <c r="H143" s="8">
        <f>VLOOKUP(E143,Model!$A$27:$B$35,2,FALSE)</f>
        <v/>
      </c>
      <c r="I143" s="8">
        <f>MAX(Model!$B$22,H143-Model!$B$21)</f>
        <v/>
      </c>
      <c r="J143" s="8">
        <f>H143-I143</f>
        <v/>
      </c>
    </row>
    <row r="144">
      <c r="A144" s="8" t="inlineStr">
        <is>
          <t>Sorcerer|Draconic Sorcery</t>
        </is>
      </c>
      <c r="B144" s="8" t="inlineStr">
        <is>
          <t>Sorcerer</t>
        </is>
      </c>
      <c r="C144" s="8" t="inlineStr">
        <is>
          <t>Draconic Sorcery</t>
        </is>
      </c>
      <c r="D144" s="8" t="inlineStr">
        <is>
          <t>Arcane Eye</t>
        </is>
      </c>
      <c r="E144" s="8" t="n">
        <v>4</v>
      </c>
      <c r="F144" s="8" t="n">
        <v>7</v>
      </c>
      <c r="G144" s="8">
        <f>IF(F144&lt;=Model!$B$24,"PAID","free with bundle")</f>
        <v/>
      </c>
      <c r="H144" s="8" t="n">
        <v>0</v>
      </c>
      <c r="I144" s="8" t="n">
        <v>0</v>
      </c>
      <c r="J144" s="8">
        <f>H144-I144</f>
        <v/>
      </c>
    </row>
    <row r="145">
      <c r="A145" s="8" t="inlineStr">
        <is>
          <t>Sorcerer|Draconic Sorcery</t>
        </is>
      </c>
      <c r="B145" s="8" t="inlineStr">
        <is>
          <t>Sorcerer</t>
        </is>
      </c>
      <c r="C145" s="8" t="inlineStr">
        <is>
          <t>Draconic Sorcery</t>
        </is>
      </c>
      <c r="D145" s="8" t="inlineStr">
        <is>
          <t>Charm Monster</t>
        </is>
      </c>
      <c r="E145" s="8" t="n">
        <v>4</v>
      </c>
      <c r="F145" s="8" t="n">
        <v>7</v>
      </c>
      <c r="G145" s="8">
        <f>IF(F145&lt;=Model!$B$24,"PAID","free with bundle")</f>
        <v/>
      </c>
      <c r="H145" s="8" t="n">
        <v>0</v>
      </c>
      <c r="I145" s="8" t="n">
        <v>0</v>
      </c>
      <c r="J145" s="8">
        <f>H145-I145</f>
        <v/>
      </c>
    </row>
    <row r="146">
      <c r="A146" s="8" t="inlineStr">
        <is>
          <t>Sorcerer|Draconic Sorcery</t>
        </is>
      </c>
      <c r="B146" s="8" t="inlineStr">
        <is>
          <t>Sorcerer</t>
        </is>
      </c>
      <c r="C146" s="8" t="inlineStr">
        <is>
          <t>Draconic Sorcery</t>
        </is>
      </c>
      <c r="D146" s="8" t="inlineStr">
        <is>
          <t>Legend Lore</t>
        </is>
      </c>
      <c r="E146" s="8" t="n">
        <v>5</v>
      </c>
      <c r="F146" s="8" t="n">
        <v>9</v>
      </c>
      <c r="G146" s="8">
        <f>IF(F146&lt;=Model!$B$24,"PAID","free with bundle")</f>
        <v/>
      </c>
      <c r="H146" s="8" t="n">
        <v>0</v>
      </c>
      <c r="I146" s="8" t="n">
        <v>0</v>
      </c>
      <c r="J146" s="8">
        <f>H146-I146</f>
        <v/>
      </c>
    </row>
    <row r="147">
      <c r="A147" s="8" t="inlineStr">
        <is>
          <t>Sorcerer|Draconic Sorcery</t>
        </is>
      </c>
      <c r="B147" s="8" t="inlineStr">
        <is>
          <t>Sorcerer</t>
        </is>
      </c>
      <c r="C147" s="8" t="inlineStr">
        <is>
          <t>Draconic Sorcery</t>
        </is>
      </c>
      <c r="D147" s="8" t="inlineStr">
        <is>
          <t>Summon Dragon</t>
        </is>
      </c>
      <c r="E147" s="8" t="n">
        <v>5</v>
      </c>
      <c r="F147" s="8" t="n">
        <v>9</v>
      </c>
      <c r="G147" s="8">
        <f>IF(F147&lt;=Model!$B$24,"PAID","free with bundle")</f>
        <v/>
      </c>
      <c r="H147" s="8" t="n">
        <v>0</v>
      </c>
      <c r="I147" s="8" t="n">
        <v>0</v>
      </c>
      <c r="J147" s="8">
        <f>H147-I147</f>
        <v/>
      </c>
    </row>
    <row r="148">
      <c r="A148" s="8" t="inlineStr">
        <is>
          <t>Warlock|Archfey Patron</t>
        </is>
      </c>
      <c r="B148" s="8" t="inlineStr">
        <is>
          <t>Warlock</t>
        </is>
      </c>
      <c r="C148" s="8" t="inlineStr">
        <is>
          <t>Archfey Patron</t>
        </is>
      </c>
      <c r="D148" s="8" t="inlineStr">
        <is>
          <t>Faerie Fire</t>
        </is>
      </c>
      <c r="E148" s="8" t="n">
        <v>1</v>
      </c>
      <c r="F148" s="8" t="n">
        <v>3</v>
      </c>
      <c r="G148" s="8">
        <f>IF(F148&lt;=Model!$B$24,"PAID","free with bundle")</f>
        <v/>
      </c>
      <c r="H148" s="8">
        <f>VLOOKUP(E148,Model!$A$27:$B$35,2,FALSE)</f>
        <v/>
      </c>
      <c r="I148" s="8">
        <f>MAX(Model!$B$22,H148-Model!$B$21)</f>
        <v/>
      </c>
      <c r="J148" s="8">
        <f>H148-I148</f>
        <v/>
      </c>
    </row>
    <row r="149">
      <c r="A149" s="8" t="inlineStr">
        <is>
          <t>Warlock|Archfey Patron</t>
        </is>
      </c>
      <c r="B149" s="8" t="inlineStr">
        <is>
          <t>Warlock</t>
        </is>
      </c>
      <c r="C149" s="8" t="inlineStr">
        <is>
          <t>Archfey Patron</t>
        </is>
      </c>
      <c r="D149" s="8" t="inlineStr">
        <is>
          <t>Sleep</t>
        </is>
      </c>
      <c r="E149" s="8" t="n">
        <v>1</v>
      </c>
      <c r="F149" s="8" t="n">
        <v>3</v>
      </c>
      <c r="G149" s="8">
        <f>IF(F149&lt;=Model!$B$24,"PAID","free with bundle")</f>
        <v/>
      </c>
      <c r="H149" s="8">
        <f>VLOOKUP(E149,Model!$A$27:$B$35,2,FALSE)</f>
        <v/>
      </c>
      <c r="I149" s="8">
        <f>MAX(Model!$B$22,H149-Model!$B$21)</f>
        <v/>
      </c>
      <c r="J149" s="8">
        <f>H149-I149</f>
        <v/>
      </c>
    </row>
    <row r="150">
      <c r="A150" s="8" t="inlineStr">
        <is>
          <t>Warlock|Archfey Patron</t>
        </is>
      </c>
      <c r="B150" s="8" t="inlineStr">
        <is>
          <t>Warlock</t>
        </is>
      </c>
      <c r="C150" s="8" t="inlineStr">
        <is>
          <t>Archfey Patron</t>
        </is>
      </c>
      <c r="D150" s="8" t="inlineStr">
        <is>
          <t>Calm Emotions</t>
        </is>
      </c>
      <c r="E150" s="8" t="n">
        <v>2</v>
      </c>
      <c r="F150" s="8" t="n">
        <v>3</v>
      </c>
      <c r="G150" s="8">
        <f>IF(F150&lt;=Model!$B$24,"PAID","free with bundle")</f>
        <v/>
      </c>
      <c r="H150" s="8">
        <f>VLOOKUP(E150,Model!$A$27:$B$35,2,FALSE)</f>
        <v/>
      </c>
      <c r="I150" s="8">
        <f>MAX(Model!$B$22,H150-Model!$B$21)</f>
        <v/>
      </c>
      <c r="J150" s="8">
        <f>H150-I150</f>
        <v/>
      </c>
    </row>
    <row r="151">
      <c r="A151" s="8" t="inlineStr">
        <is>
          <t>Warlock|Archfey Patron</t>
        </is>
      </c>
      <c r="B151" s="8" t="inlineStr">
        <is>
          <t>Warlock</t>
        </is>
      </c>
      <c r="C151" s="8" t="inlineStr">
        <is>
          <t>Archfey Patron</t>
        </is>
      </c>
      <c r="D151" s="8" t="inlineStr">
        <is>
          <t>Misty Step</t>
        </is>
      </c>
      <c r="E151" s="8" t="n">
        <v>2</v>
      </c>
      <c r="F151" s="8" t="n">
        <v>3</v>
      </c>
      <c r="G151" s="8">
        <f>IF(F151&lt;=Model!$B$24,"PAID","free with bundle")</f>
        <v/>
      </c>
      <c r="H151" s="8">
        <f>VLOOKUP(E151,Model!$A$27:$B$35,2,FALSE)</f>
        <v/>
      </c>
      <c r="I151" s="8">
        <f>MAX(Model!$B$22,H151-Model!$B$21)</f>
        <v/>
      </c>
      <c r="J151" s="8">
        <f>H151-I151</f>
        <v/>
      </c>
    </row>
    <row r="152">
      <c r="A152" s="8" t="inlineStr">
        <is>
          <t>Warlock|Archfey Patron</t>
        </is>
      </c>
      <c r="B152" s="8" t="inlineStr">
        <is>
          <t>Warlock</t>
        </is>
      </c>
      <c r="C152" s="8" t="inlineStr">
        <is>
          <t>Archfey Patron</t>
        </is>
      </c>
      <c r="D152" s="8" t="inlineStr">
        <is>
          <t>Phantasmal Force</t>
        </is>
      </c>
      <c r="E152" s="8" t="n">
        <v>2</v>
      </c>
      <c r="F152" s="8" t="n">
        <v>3</v>
      </c>
      <c r="G152" s="8">
        <f>IF(F152&lt;=Model!$B$24,"PAID","free with bundle")</f>
        <v/>
      </c>
      <c r="H152" s="8">
        <f>VLOOKUP(E152,Model!$A$27:$B$35,2,FALSE)</f>
        <v/>
      </c>
      <c r="I152" s="8">
        <f>MAX(Model!$B$22,H152-Model!$B$21)</f>
        <v/>
      </c>
      <c r="J152" s="8">
        <f>H152-I152</f>
        <v/>
      </c>
    </row>
    <row r="153">
      <c r="A153" s="8" t="inlineStr">
        <is>
          <t>Warlock|Archfey Patron</t>
        </is>
      </c>
      <c r="B153" s="8" t="inlineStr">
        <is>
          <t>Warlock</t>
        </is>
      </c>
      <c r="C153" s="8" t="inlineStr">
        <is>
          <t>Archfey Patron</t>
        </is>
      </c>
      <c r="D153" s="8" t="inlineStr">
        <is>
          <t>Blink</t>
        </is>
      </c>
      <c r="E153" s="8" t="n">
        <v>3</v>
      </c>
      <c r="F153" s="8" t="n">
        <v>5</v>
      </c>
      <c r="G153" s="8">
        <f>IF(F153&lt;=Model!$B$24,"PAID","free with bundle")</f>
        <v/>
      </c>
      <c r="H153" s="8">
        <f>VLOOKUP(E153,Model!$A$27:$B$35,2,FALSE)</f>
        <v/>
      </c>
      <c r="I153" s="8">
        <f>MAX(Model!$B$22,H153-Model!$B$21)</f>
        <v/>
      </c>
      <c r="J153" s="8">
        <f>H153-I153</f>
        <v/>
      </c>
    </row>
    <row r="154">
      <c r="A154" s="8" t="inlineStr">
        <is>
          <t>Warlock|Archfey Patron</t>
        </is>
      </c>
      <c r="B154" s="8" t="inlineStr">
        <is>
          <t>Warlock</t>
        </is>
      </c>
      <c r="C154" s="8" t="inlineStr">
        <is>
          <t>Archfey Patron</t>
        </is>
      </c>
      <c r="D154" s="8" t="inlineStr">
        <is>
          <t>Plant Growth</t>
        </is>
      </c>
      <c r="E154" s="8" t="n">
        <v>3</v>
      </c>
      <c r="F154" s="8" t="n">
        <v>5</v>
      </c>
      <c r="G154" s="8">
        <f>IF(F154&lt;=Model!$B$24,"PAID","free with bundle")</f>
        <v/>
      </c>
      <c r="H154" s="8">
        <f>VLOOKUP(E154,Model!$A$27:$B$35,2,FALSE)</f>
        <v/>
      </c>
      <c r="I154" s="8">
        <f>MAX(Model!$B$22,H154-Model!$B$21)</f>
        <v/>
      </c>
      <c r="J154" s="8">
        <f>H154-I154</f>
        <v/>
      </c>
    </row>
    <row r="155">
      <c r="A155" s="8" t="inlineStr">
        <is>
          <t>Warlock|Archfey Patron</t>
        </is>
      </c>
      <c r="B155" s="8" t="inlineStr">
        <is>
          <t>Warlock</t>
        </is>
      </c>
      <c r="C155" s="8" t="inlineStr">
        <is>
          <t>Archfey Patron</t>
        </is>
      </c>
      <c r="D155" s="8" t="inlineStr">
        <is>
          <t>Dominate Beast</t>
        </is>
      </c>
      <c r="E155" s="8" t="n">
        <v>4</v>
      </c>
      <c r="F155" s="8" t="n">
        <v>7</v>
      </c>
      <c r="G155" s="8">
        <f>IF(F155&lt;=Model!$B$24,"PAID","free with bundle")</f>
        <v/>
      </c>
      <c r="H155" s="8" t="n">
        <v>0</v>
      </c>
      <c r="I155" s="8" t="n">
        <v>0</v>
      </c>
      <c r="J155" s="8">
        <f>H155-I155</f>
        <v/>
      </c>
    </row>
    <row r="156">
      <c r="A156" s="8" t="inlineStr">
        <is>
          <t>Warlock|Archfey Patron</t>
        </is>
      </c>
      <c r="B156" s="8" t="inlineStr">
        <is>
          <t>Warlock</t>
        </is>
      </c>
      <c r="C156" s="8" t="inlineStr">
        <is>
          <t>Archfey Patron</t>
        </is>
      </c>
      <c r="D156" s="8" t="inlineStr">
        <is>
          <t>Greater Invisibility</t>
        </is>
      </c>
      <c r="E156" s="8" t="n">
        <v>4</v>
      </c>
      <c r="F156" s="8" t="n">
        <v>7</v>
      </c>
      <c r="G156" s="8">
        <f>IF(F156&lt;=Model!$B$24,"PAID","free with bundle")</f>
        <v/>
      </c>
      <c r="H156" s="8" t="n">
        <v>0</v>
      </c>
      <c r="I156" s="8" t="n">
        <v>0</v>
      </c>
      <c r="J156" s="8">
        <f>H156-I156</f>
        <v/>
      </c>
    </row>
    <row r="157">
      <c r="A157" s="8" t="inlineStr">
        <is>
          <t>Warlock|Archfey Patron</t>
        </is>
      </c>
      <c r="B157" s="8" t="inlineStr">
        <is>
          <t>Warlock</t>
        </is>
      </c>
      <c r="C157" s="8" t="inlineStr">
        <is>
          <t>Archfey Patron</t>
        </is>
      </c>
      <c r="D157" s="8" t="inlineStr">
        <is>
          <t>Dominate Person</t>
        </is>
      </c>
      <c r="E157" s="8" t="n">
        <v>5</v>
      </c>
      <c r="F157" s="8" t="n">
        <v>9</v>
      </c>
      <c r="G157" s="8">
        <f>IF(F157&lt;=Model!$B$24,"PAID","free with bundle")</f>
        <v/>
      </c>
      <c r="H157" s="8" t="n">
        <v>0</v>
      </c>
      <c r="I157" s="8" t="n">
        <v>0</v>
      </c>
      <c r="J157" s="8">
        <f>H157-I157</f>
        <v/>
      </c>
    </row>
    <row r="158">
      <c r="A158" s="8" t="inlineStr">
        <is>
          <t>Warlock|Archfey Patron</t>
        </is>
      </c>
      <c r="B158" s="8" t="inlineStr">
        <is>
          <t>Warlock</t>
        </is>
      </c>
      <c r="C158" s="8" t="inlineStr">
        <is>
          <t>Archfey Patron</t>
        </is>
      </c>
      <c r="D158" s="8" t="inlineStr">
        <is>
          <t>Seeming</t>
        </is>
      </c>
      <c r="E158" s="8" t="n">
        <v>5</v>
      </c>
      <c r="F158" s="8" t="n">
        <v>9</v>
      </c>
      <c r="G158" s="8">
        <f>IF(F158&lt;=Model!$B$24,"PAID","free with bundle")</f>
        <v/>
      </c>
      <c r="H158" s="8" t="n">
        <v>0</v>
      </c>
      <c r="I158" s="8" t="n">
        <v>0</v>
      </c>
      <c r="J158" s="8">
        <f>H158-I158</f>
        <v/>
      </c>
    </row>
    <row r="159">
      <c r="A159" s="8" t="inlineStr">
        <is>
          <t>Warlock|Celestial Patron</t>
        </is>
      </c>
      <c r="B159" s="8" t="inlineStr">
        <is>
          <t>Warlock</t>
        </is>
      </c>
      <c r="C159" s="8" t="inlineStr">
        <is>
          <t>Celestial Patron</t>
        </is>
      </c>
      <c r="D159" s="8" t="inlineStr">
        <is>
          <t>Light</t>
        </is>
      </c>
      <c r="E159" s="8" t="n">
        <v>0</v>
      </c>
      <c r="F159" s="8" t="n">
        <v>3</v>
      </c>
      <c r="G159" s="8">
        <f>IF(F159&lt;=Model!$B$24,"PAID","free with bundle")</f>
        <v/>
      </c>
      <c r="H159" s="8">
        <f>Model!$B$23</f>
        <v/>
      </c>
      <c r="I159" s="8">
        <f>Model!$B$23</f>
        <v/>
      </c>
      <c r="J159" s="8">
        <f>H159-I159</f>
        <v/>
      </c>
    </row>
    <row r="160">
      <c r="A160" s="8" t="inlineStr">
        <is>
          <t>Warlock|Celestial Patron</t>
        </is>
      </c>
      <c r="B160" s="8" t="inlineStr">
        <is>
          <t>Warlock</t>
        </is>
      </c>
      <c r="C160" s="8" t="inlineStr">
        <is>
          <t>Celestial Patron</t>
        </is>
      </c>
      <c r="D160" s="8" t="inlineStr">
        <is>
          <t>Sacred Flame</t>
        </is>
      </c>
      <c r="E160" s="8" t="n">
        <v>0</v>
      </c>
      <c r="F160" s="8" t="n">
        <v>3</v>
      </c>
      <c r="G160" s="8">
        <f>IF(F160&lt;=Model!$B$24,"PAID","free with bundle")</f>
        <v/>
      </c>
      <c r="H160" s="8">
        <f>Model!$B$23</f>
        <v/>
      </c>
      <c r="I160" s="8">
        <f>Model!$B$23</f>
        <v/>
      </c>
      <c r="J160" s="8">
        <f>H160-I160</f>
        <v/>
      </c>
    </row>
    <row r="161">
      <c r="A161" s="8" t="inlineStr">
        <is>
          <t>Warlock|Celestial Patron</t>
        </is>
      </c>
      <c r="B161" s="8" t="inlineStr">
        <is>
          <t>Warlock</t>
        </is>
      </c>
      <c r="C161" s="8" t="inlineStr">
        <is>
          <t>Celestial Patron</t>
        </is>
      </c>
      <c r="D161" s="8" t="inlineStr">
        <is>
          <t>Cure Wounds</t>
        </is>
      </c>
      <c r="E161" s="8" t="n">
        <v>1</v>
      </c>
      <c r="F161" s="8" t="n">
        <v>3</v>
      </c>
      <c r="G161" s="8">
        <f>IF(F161&lt;=Model!$B$24,"PAID","free with bundle")</f>
        <v/>
      </c>
      <c r="H161" s="8">
        <f>VLOOKUP(E161,Model!$A$27:$B$35,2,FALSE)</f>
        <v/>
      </c>
      <c r="I161" s="8">
        <f>MAX(Model!$B$22,H161-Model!$B$21)</f>
        <v/>
      </c>
      <c r="J161" s="8">
        <f>H161-I161</f>
        <v/>
      </c>
    </row>
    <row r="162">
      <c r="A162" s="8" t="inlineStr">
        <is>
          <t>Warlock|Celestial Patron</t>
        </is>
      </c>
      <c r="B162" s="8" t="inlineStr">
        <is>
          <t>Warlock</t>
        </is>
      </c>
      <c r="C162" s="8" t="inlineStr">
        <is>
          <t>Celestial Patron</t>
        </is>
      </c>
      <c r="D162" s="8" t="inlineStr">
        <is>
          <t>Guiding Bolt</t>
        </is>
      </c>
      <c r="E162" s="8" t="n">
        <v>1</v>
      </c>
      <c r="F162" s="8" t="n">
        <v>3</v>
      </c>
      <c r="G162" s="8">
        <f>IF(F162&lt;=Model!$B$24,"PAID","free with bundle")</f>
        <v/>
      </c>
      <c r="H162" s="8">
        <f>VLOOKUP(E162,Model!$A$27:$B$35,2,FALSE)</f>
        <v/>
      </c>
      <c r="I162" s="8">
        <f>MAX(Model!$B$22,H162-Model!$B$21)</f>
        <v/>
      </c>
      <c r="J162" s="8">
        <f>H162-I162</f>
        <v/>
      </c>
    </row>
    <row r="163">
      <c r="A163" s="8" t="inlineStr">
        <is>
          <t>Warlock|Celestial Patron</t>
        </is>
      </c>
      <c r="B163" s="8" t="inlineStr">
        <is>
          <t>Warlock</t>
        </is>
      </c>
      <c r="C163" s="8" t="inlineStr">
        <is>
          <t>Celestial Patron</t>
        </is>
      </c>
      <c r="D163" s="8" t="inlineStr">
        <is>
          <t>Aid</t>
        </is>
      </c>
      <c r="E163" s="8" t="n">
        <v>2</v>
      </c>
      <c r="F163" s="8" t="n">
        <v>3</v>
      </c>
      <c r="G163" s="8">
        <f>IF(F163&lt;=Model!$B$24,"PAID","free with bundle")</f>
        <v/>
      </c>
      <c r="H163" s="8">
        <f>VLOOKUP(E163,Model!$A$27:$B$35,2,FALSE)</f>
        <v/>
      </c>
      <c r="I163" s="8">
        <f>MAX(Model!$B$22,H163-Model!$B$21)</f>
        <v/>
      </c>
      <c r="J163" s="8">
        <f>H163-I163</f>
        <v/>
      </c>
    </row>
    <row r="164">
      <c r="A164" s="8" t="inlineStr">
        <is>
          <t>Warlock|Celestial Patron</t>
        </is>
      </c>
      <c r="B164" s="8" t="inlineStr">
        <is>
          <t>Warlock</t>
        </is>
      </c>
      <c r="C164" s="8" t="inlineStr">
        <is>
          <t>Celestial Patron</t>
        </is>
      </c>
      <c r="D164" s="8" t="inlineStr">
        <is>
          <t>Lesser Restoration</t>
        </is>
      </c>
      <c r="E164" s="8" t="n">
        <v>2</v>
      </c>
      <c r="F164" s="8" t="n">
        <v>3</v>
      </c>
      <c r="G164" s="8">
        <f>IF(F164&lt;=Model!$B$24,"PAID","free with bundle")</f>
        <v/>
      </c>
      <c r="H164" s="8">
        <f>VLOOKUP(E164,Model!$A$27:$B$35,2,FALSE)</f>
        <v/>
      </c>
      <c r="I164" s="8">
        <f>MAX(Model!$B$22,H164-Model!$B$21)</f>
        <v/>
      </c>
      <c r="J164" s="8">
        <f>H164-I164</f>
        <v/>
      </c>
    </row>
    <row r="165">
      <c r="A165" s="8" t="inlineStr">
        <is>
          <t>Warlock|Celestial Patron</t>
        </is>
      </c>
      <c r="B165" s="8" t="inlineStr">
        <is>
          <t>Warlock</t>
        </is>
      </c>
      <c r="C165" s="8" t="inlineStr">
        <is>
          <t>Celestial Patron</t>
        </is>
      </c>
      <c r="D165" s="8" t="inlineStr">
        <is>
          <t>Daylight</t>
        </is>
      </c>
      <c r="E165" s="8" t="n">
        <v>3</v>
      </c>
      <c r="F165" s="8" t="n">
        <v>5</v>
      </c>
      <c r="G165" s="8">
        <f>IF(F165&lt;=Model!$B$24,"PAID","free with bundle")</f>
        <v/>
      </c>
      <c r="H165" s="8">
        <f>VLOOKUP(E165,Model!$A$27:$B$35,2,FALSE)</f>
        <v/>
      </c>
      <c r="I165" s="8">
        <f>MAX(Model!$B$22,H165-Model!$B$21)</f>
        <v/>
      </c>
      <c r="J165" s="8">
        <f>H165-I165</f>
        <v/>
      </c>
    </row>
    <row r="166">
      <c r="A166" s="8" t="inlineStr">
        <is>
          <t>Warlock|Celestial Patron</t>
        </is>
      </c>
      <c r="B166" s="8" t="inlineStr">
        <is>
          <t>Warlock</t>
        </is>
      </c>
      <c r="C166" s="8" t="inlineStr">
        <is>
          <t>Celestial Patron</t>
        </is>
      </c>
      <c r="D166" s="8" t="inlineStr">
        <is>
          <t>Revivify</t>
        </is>
      </c>
      <c r="E166" s="8" t="n">
        <v>3</v>
      </c>
      <c r="F166" s="8" t="n">
        <v>5</v>
      </c>
      <c r="G166" s="8">
        <f>IF(F166&lt;=Model!$B$24,"PAID","free with bundle")</f>
        <v/>
      </c>
      <c r="H166" s="8">
        <f>VLOOKUP(E166,Model!$A$27:$B$35,2,FALSE)</f>
        <v/>
      </c>
      <c r="I166" s="8">
        <f>MAX(Model!$B$22,H166-Model!$B$21)</f>
        <v/>
      </c>
      <c r="J166" s="8">
        <f>H166-I166</f>
        <v/>
      </c>
    </row>
    <row r="167">
      <c r="A167" s="8" t="inlineStr">
        <is>
          <t>Warlock|Celestial Patron</t>
        </is>
      </c>
      <c r="B167" s="8" t="inlineStr">
        <is>
          <t>Warlock</t>
        </is>
      </c>
      <c r="C167" s="8" t="inlineStr">
        <is>
          <t>Celestial Patron</t>
        </is>
      </c>
      <c r="D167" s="8" t="inlineStr">
        <is>
          <t>Guardian of Faith</t>
        </is>
      </c>
      <c r="E167" s="8" t="n">
        <v>4</v>
      </c>
      <c r="F167" s="8" t="n">
        <v>7</v>
      </c>
      <c r="G167" s="8">
        <f>IF(F167&lt;=Model!$B$24,"PAID","free with bundle")</f>
        <v/>
      </c>
      <c r="H167" s="8" t="n">
        <v>0</v>
      </c>
      <c r="I167" s="8" t="n">
        <v>0</v>
      </c>
      <c r="J167" s="8">
        <f>H167-I167</f>
        <v/>
      </c>
    </row>
    <row r="168">
      <c r="A168" s="8" t="inlineStr">
        <is>
          <t>Warlock|Celestial Patron</t>
        </is>
      </c>
      <c r="B168" s="8" t="inlineStr">
        <is>
          <t>Warlock</t>
        </is>
      </c>
      <c r="C168" s="8" t="inlineStr">
        <is>
          <t>Celestial Patron</t>
        </is>
      </c>
      <c r="D168" s="8" t="inlineStr">
        <is>
          <t>Wall of Fire</t>
        </is>
      </c>
      <c r="E168" s="8" t="n">
        <v>4</v>
      </c>
      <c r="F168" s="8" t="n">
        <v>7</v>
      </c>
      <c r="G168" s="8">
        <f>IF(F168&lt;=Model!$B$24,"PAID","free with bundle")</f>
        <v/>
      </c>
      <c r="H168" s="8" t="n">
        <v>0</v>
      </c>
      <c r="I168" s="8" t="n">
        <v>0</v>
      </c>
      <c r="J168" s="8">
        <f>H168-I168</f>
        <v/>
      </c>
    </row>
    <row r="169">
      <c r="A169" s="8" t="inlineStr">
        <is>
          <t>Warlock|Celestial Patron</t>
        </is>
      </c>
      <c r="B169" s="8" t="inlineStr">
        <is>
          <t>Warlock</t>
        </is>
      </c>
      <c r="C169" s="8" t="inlineStr">
        <is>
          <t>Celestial Patron</t>
        </is>
      </c>
      <c r="D169" s="8" t="inlineStr">
        <is>
          <t>Greater Restoration</t>
        </is>
      </c>
      <c r="E169" s="8" t="n">
        <v>5</v>
      </c>
      <c r="F169" s="8" t="n">
        <v>9</v>
      </c>
      <c r="G169" s="8">
        <f>IF(F169&lt;=Model!$B$24,"PAID","free with bundle")</f>
        <v/>
      </c>
      <c r="H169" s="8" t="n">
        <v>0</v>
      </c>
      <c r="I169" s="8" t="n">
        <v>0</v>
      </c>
      <c r="J169" s="8">
        <f>H169-I169</f>
        <v/>
      </c>
    </row>
    <row r="170">
      <c r="A170" s="8" t="inlineStr">
        <is>
          <t>Warlock|Celestial Patron</t>
        </is>
      </c>
      <c r="B170" s="8" t="inlineStr">
        <is>
          <t>Warlock</t>
        </is>
      </c>
      <c r="C170" s="8" t="inlineStr">
        <is>
          <t>Celestial Patron</t>
        </is>
      </c>
      <c r="D170" s="8" t="inlineStr">
        <is>
          <t>Summon Celestial</t>
        </is>
      </c>
      <c r="E170" s="8" t="n">
        <v>5</v>
      </c>
      <c r="F170" s="8" t="n">
        <v>9</v>
      </c>
      <c r="G170" s="8">
        <f>IF(F170&lt;=Model!$B$24,"PAID","free with bundle")</f>
        <v/>
      </c>
      <c r="H170" s="8" t="n">
        <v>0</v>
      </c>
      <c r="I170" s="8" t="n">
        <v>0</v>
      </c>
      <c r="J170" s="8">
        <f>H170-I170</f>
        <v/>
      </c>
    </row>
    <row r="171">
      <c r="A171" s="8" t="inlineStr">
        <is>
          <t>Warlock|Fiend Patron</t>
        </is>
      </c>
      <c r="B171" s="8" t="inlineStr">
        <is>
          <t>Warlock</t>
        </is>
      </c>
      <c r="C171" s="8" t="inlineStr">
        <is>
          <t>Fiend Patron</t>
        </is>
      </c>
      <c r="D171" s="8" t="inlineStr">
        <is>
          <t>Burning Hands</t>
        </is>
      </c>
      <c r="E171" s="8" t="n">
        <v>1</v>
      </c>
      <c r="F171" s="8" t="n">
        <v>3</v>
      </c>
      <c r="G171" s="8">
        <f>IF(F171&lt;=Model!$B$24,"PAID","free with bundle")</f>
        <v/>
      </c>
      <c r="H171" s="8">
        <f>VLOOKUP(E171,Model!$A$27:$B$35,2,FALSE)</f>
        <v/>
      </c>
      <c r="I171" s="8">
        <f>MAX(Model!$B$22,H171-Model!$B$21)</f>
        <v/>
      </c>
      <c r="J171" s="8">
        <f>H171-I171</f>
        <v/>
      </c>
    </row>
    <row r="172">
      <c r="A172" s="8" t="inlineStr">
        <is>
          <t>Warlock|Fiend Patron</t>
        </is>
      </c>
      <c r="B172" s="8" t="inlineStr">
        <is>
          <t>Warlock</t>
        </is>
      </c>
      <c r="C172" s="8" t="inlineStr">
        <is>
          <t>Fiend Patron</t>
        </is>
      </c>
      <c r="D172" s="8" t="inlineStr">
        <is>
          <t>Command</t>
        </is>
      </c>
      <c r="E172" s="8" t="n">
        <v>1</v>
      </c>
      <c r="F172" s="8" t="n">
        <v>3</v>
      </c>
      <c r="G172" s="8">
        <f>IF(F172&lt;=Model!$B$24,"PAID","free with bundle")</f>
        <v/>
      </c>
      <c r="H172" s="8">
        <f>VLOOKUP(E172,Model!$A$27:$B$35,2,FALSE)</f>
        <v/>
      </c>
      <c r="I172" s="8">
        <f>MAX(Model!$B$22,H172-Model!$B$21)</f>
        <v/>
      </c>
      <c r="J172" s="8">
        <f>H172-I172</f>
        <v/>
      </c>
    </row>
    <row r="173">
      <c r="A173" s="8" t="inlineStr">
        <is>
          <t>Warlock|Fiend Patron</t>
        </is>
      </c>
      <c r="B173" s="8" t="inlineStr">
        <is>
          <t>Warlock</t>
        </is>
      </c>
      <c r="C173" s="8" t="inlineStr">
        <is>
          <t>Fiend Patron</t>
        </is>
      </c>
      <c r="D173" s="8" t="inlineStr">
        <is>
          <t>Scorching Ray</t>
        </is>
      </c>
      <c r="E173" s="8" t="n">
        <v>2</v>
      </c>
      <c r="F173" s="8" t="n">
        <v>3</v>
      </c>
      <c r="G173" s="8">
        <f>IF(F173&lt;=Model!$B$24,"PAID","free with bundle")</f>
        <v/>
      </c>
      <c r="H173" s="8">
        <f>VLOOKUP(E173,Model!$A$27:$B$35,2,FALSE)</f>
        <v/>
      </c>
      <c r="I173" s="8">
        <f>MAX(Model!$B$22,H173-Model!$B$21)</f>
        <v/>
      </c>
      <c r="J173" s="8">
        <f>H173-I173</f>
        <v/>
      </c>
    </row>
    <row r="174">
      <c r="A174" s="8" t="inlineStr">
        <is>
          <t>Warlock|Fiend Patron</t>
        </is>
      </c>
      <c r="B174" s="8" t="inlineStr">
        <is>
          <t>Warlock</t>
        </is>
      </c>
      <c r="C174" s="8" t="inlineStr">
        <is>
          <t>Fiend Patron</t>
        </is>
      </c>
      <c r="D174" s="8" t="inlineStr">
        <is>
          <t>Suggestion</t>
        </is>
      </c>
      <c r="E174" s="8" t="n">
        <v>2</v>
      </c>
      <c r="F174" s="8" t="n">
        <v>3</v>
      </c>
      <c r="G174" s="8">
        <f>IF(F174&lt;=Model!$B$24,"PAID","free with bundle")</f>
        <v/>
      </c>
      <c r="H174" s="8">
        <f>VLOOKUP(E174,Model!$A$27:$B$35,2,FALSE)</f>
        <v/>
      </c>
      <c r="I174" s="8">
        <f>MAX(Model!$B$22,H174-Model!$B$21)</f>
        <v/>
      </c>
      <c r="J174" s="8">
        <f>H174-I174</f>
        <v/>
      </c>
    </row>
    <row r="175">
      <c r="A175" s="8" t="inlineStr">
        <is>
          <t>Warlock|Fiend Patron</t>
        </is>
      </c>
      <c r="B175" s="8" t="inlineStr">
        <is>
          <t>Warlock</t>
        </is>
      </c>
      <c r="C175" s="8" t="inlineStr">
        <is>
          <t>Fiend Patron</t>
        </is>
      </c>
      <c r="D175" s="8" t="inlineStr">
        <is>
          <t>Fireball</t>
        </is>
      </c>
      <c r="E175" s="8" t="n">
        <v>3</v>
      </c>
      <c r="F175" s="8" t="n">
        <v>5</v>
      </c>
      <c r="G175" s="8">
        <f>IF(F175&lt;=Model!$B$24,"PAID","free with bundle")</f>
        <v/>
      </c>
      <c r="H175" s="8">
        <f>VLOOKUP(E175,Model!$A$27:$B$35,2,FALSE)</f>
        <v/>
      </c>
      <c r="I175" s="8">
        <f>MAX(Model!$B$22,H175-Model!$B$21)</f>
        <v/>
      </c>
      <c r="J175" s="8">
        <f>H175-I175</f>
        <v/>
      </c>
    </row>
    <row r="176">
      <c r="A176" s="8" t="inlineStr">
        <is>
          <t>Warlock|Fiend Patron</t>
        </is>
      </c>
      <c r="B176" s="8" t="inlineStr">
        <is>
          <t>Warlock</t>
        </is>
      </c>
      <c r="C176" s="8" t="inlineStr">
        <is>
          <t>Fiend Patron</t>
        </is>
      </c>
      <c r="D176" s="8" t="inlineStr">
        <is>
          <t>Stinking Cloud</t>
        </is>
      </c>
      <c r="E176" s="8" t="n">
        <v>3</v>
      </c>
      <c r="F176" s="8" t="n">
        <v>5</v>
      </c>
      <c r="G176" s="8">
        <f>IF(F176&lt;=Model!$B$24,"PAID","free with bundle")</f>
        <v/>
      </c>
      <c r="H176" s="8">
        <f>VLOOKUP(E176,Model!$A$27:$B$35,2,FALSE)</f>
        <v/>
      </c>
      <c r="I176" s="8">
        <f>MAX(Model!$B$22,H176-Model!$B$21)</f>
        <v/>
      </c>
      <c r="J176" s="8">
        <f>H176-I176</f>
        <v/>
      </c>
    </row>
    <row r="177">
      <c r="A177" s="8" t="inlineStr">
        <is>
          <t>Warlock|Fiend Patron</t>
        </is>
      </c>
      <c r="B177" s="8" t="inlineStr">
        <is>
          <t>Warlock</t>
        </is>
      </c>
      <c r="C177" s="8" t="inlineStr">
        <is>
          <t>Fiend Patron</t>
        </is>
      </c>
      <c r="D177" s="8" t="inlineStr">
        <is>
          <t>Fire Shield</t>
        </is>
      </c>
      <c r="E177" s="8" t="n">
        <v>4</v>
      </c>
      <c r="F177" s="8" t="n">
        <v>7</v>
      </c>
      <c r="G177" s="8">
        <f>IF(F177&lt;=Model!$B$24,"PAID","free with bundle")</f>
        <v/>
      </c>
      <c r="H177" s="8" t="n">
        <v>0</v>
      </c>
      <c r="I177" s="8" t="n">
        <v>0</v>
      </c>
      <c r="J177" s="8">
        <f>H177-I177</f>
        <v/>
      </c>
    </row>
    <row r="178">
      <c r="A178" s="8" t="inlineStr">
        <is>
          <t>Warlock|Fiend Patron</t>
        </is>
      </c>
      <c r="B178" s="8" t="inlineStr">
        <is>
          <t>Warlock</t>
        </is>
      </c>
      <c r="C178" s="8" t="inlineStr">
        <is>
          <t>Fiend Patron</t>
        </is>
      </c>
      <c r="D178" s="8" t="inlineStr">
        <is>
          <t>Wall of Fire</t>
        </is>
      </c>
      <c r="E178" s="8" t="n">
        <v>4</v>
      </c>
      <c r="F178" s="8" t="n">
        <v>7</v>
      </c>
      <c r="G178" s="8">
        <f>IF(F178&lt;=Model!$B$24,"PAID","free with bundle")</f>
        <v/>
      </c>
      <c r="H178" s="8" t="n">
        <v>0</v>
      </c>
      <c r="I178" s="8" t="n">
        <v>0</v>
      </c>
      <c r="J178" s="8">
        <f>H178-I178</f>
        <v/>
      </c>
    </row>
    <row r="179">
      <c r="A179" s="8" t="inlineStr">
        <is>
          <t>Warlock|Fiend Patron</t>
        </is>
      </c>
      <c r="B179" s="8" t="inlineStr">
        <is>
          <t>Warlock</t>
        </is>
      </c>
      <c r="C179" s="8" t="inlineStr">
        <is>
          <t>Fiend Patron</t>
        </is>
      </c>
      <c r="D179" s="8" t="inlineStr">
        <is>
          <t>Geas</t>
        </is>
      </c>
      <c r="E179" s="8" t="n">
        <v>5</v>
      </c>
      <c r="F179" s="8" t="n">
        <v>9</v>
      </c>
      <c r="G179" s="8">
        <f>IF(F179&lt;=Model!$B$24,"PAID","free with bundle")</f>
        <v/>
      </c>
      <c r="H179" s="8" t="n">
        <v>0</v>
      </c>
      <c r="I179" s="8" t="n">
        <v>0</v>
      </c>
      <c r="J179" s="8">
        <f>H179-I179</f>
        <v/>
      </c>
    </row>
    <row r="180">
      <c r="A180" s="8" t="inlineStr">
        <is>
          <t>Warlock|Fiend Patron</t>
        </is>
      </c>
      <c r="B180" s="8" t="inlineStr">
        <is>
          <t>Warlock</t>
        </is>
      </c>
      <c r="C180" s="8" t="inlineStr">
        <is>
          <t>Fiend Patron</t>
        </is>
      </c>
      <c r="D180" s="8" t="inlineStr">
        <is>
          <t>Insect Plague</t>
        </is>
      </c>
      <c r="E180" s="8" t="n">
        <v>5</v>
      </c>
      <c r="F180" s="8" t="n">
        <v>9</v>
      </c>
      <c r="G180" s="8">
        <f>IF(F180&lt;=Model!$B$24,"PAID","free with bundle")</f>
        <v/>
      </c>
      <c r="H180" s="8" t="n">
        <v>0</v>
      </c>
      <c r="I180" s="8" t="n">
        <v>0</v>
      </c>
      <c r="J180" s="8">
        <f>H180-I180</f>
        <v/>
      </c>
    </row>
    <row r="181">
      <c r="A181" s="8" t="inlineStr">
        <is>
          <t>Warlock|Great Old One Patron</t>
        </is>
      </c>
      <c r="B181" s="8" t="inlineStr">
        <is>
          <t>Warlock</t>
        </is>
      </c>
      <c r="C181" s="8" t="inlineStr">
        <is>
          <t>Great Old One Patron</t>
        </is>
      </c>
      <c r="D181" s="8" t="inlineStr">
        <is>
          <t>Dissonant Whispers</t>
        </is>
      </c>
      <c r="E181" s="8" t="n">
        <v>1</v>
      </c>
      <c r="F181" s="8" t="n">
        <v>3</v>
      </c>
      <c r="G181" s="8">
        <f>IF(F181&lt;=Model!$B$24,"PAID","free with bundle")</f>
        <v/>
      </c>
      <c r="H181" s="8">
        <f>VLOOKUP(E181,Model!$A$27:$B$35,2,FALSE)</f>
        <v/>
      </c>
      <c r="I181" s="8">
        <f>MAX(Model!$B$22,H181-Model!$B$21)</f>
        <v/>
      </c>
      <c r="J181" s="8">
        <f>H181-I181</f>
        <v/>
      </c>
    </row>
    <row r="182">
      <c r="A182" s="8" t="inlineStr">
        <is>
          <t>Warlock|Great Old One Patron</t>
        </is>
      </c>
      <c r="B182" s="8" t="inlineStr">
        <is>
          <t>Warlock</t>
        </is>
      </c>
      <c r="C182" s="8" t="inlineStr">
        <is>
          <t>Great Old One Patron</t>
        </is>
      </c>
      <c r="D182" s="8" t="inlineStr">
        <is>
          <t>Tasha's Hideous Laughter</t>
        </is>
      </c>
      <c r="E182" s="8" t="n">
        <v>1</v>
      </c>
      <c r="F182" s="8" t="n">
        <v>3</v>
      </c>
      <c r="G182" s="8">
        <f>IF(F182&lt;=Model!$B$24,"PAID","free with bundle")</f>
        <v/>
      </c>
      <c r="H182" s="8">
        <f>VLOOKUP(E182,Model!$A$27:$B$35,2,FALSE)</f>
        <v/>
      </c>
      <c r="I182" s="8">
        <f>MAX(Model!$B$22,H182-Model!$B$21)</f>
        <v/>
      </c>
      <c r="J182" s="8">
        <f>H182-I182</f>
        <v/>
      </c>
    </row>
    <row r="183">
      <c r="A183" s="8" t="inlineStr">
        <is>
          <t>Warlock|Great Old One Patron</t>
        </is>
      </c>
      <c r="B183" s="8" t="inlineStr">
        <is>
          <t>Warlock</t>
        </is>
      </c>
      <c r="C183" s="8" t="inlineStr">
        <is>
          <t>Great Old One Patron</t>
        </is>
      </c>
      <c r="D183" s="8" t="inlineStr">
        <is>
          <t>Detect Thoughts</t>
        </is>
      </c>
      <c r="E183" s="8" t="n">
        <v>2</v>
      </c>
      <c r="F183" s="8" t="n">
        <v>3</v>
      </c>
      <c r="G183" s="8">
        <f>IF(F183&lt;=Model!$B$24,"PAID","free with bundle")</f>
        <v/>
      </c>
      <c r="H183" s="8">
        <f>VLOOKUP(E183,Model!$A$27:$B$35,2,FALSE)</f>
        <v/>
      </c>
      <c r="I183" s="8">
        <f>MAX(Model!$B$22,H183-Model!$B$21)</f>
        <v/>
      </c>
      <c r="J183" s="8">
        <f>H183-I183</f>
        <v/>
      </c>
    </row>
    <row r="184">
      <c r="A184" s="8" t="inlineStr">
        <is>
          <t>Warlock|Great Old One Patron</t>
        </is>
      </c>
      <c r="B184" s="8" t="inlineStr">
        <is>
          <t>Warlock</t>
        </is>
      </c>
      <c r="C184" s="8" t="inlineStr">
        <is>
          <t>Great Old One Patron</t>
        </is>
      </c>
      <c r="D184" s="8" t="inlineStr">
        <is>
          <t>Phantasmal Force</t>
        </is>
      </c>
      <c r="E184" s="8" t="n">
        <v>2</v>
      </c>
      <c r="F184" s="8" t="n">
        <v>3</v>
      </c>
      <c r="G184" s="8">
        <f>IF(F184&lt;=Model!$B$24,"PAID","free with bundle")</f>
        <v/>
      </c>
      <c r="H184" s="8">
        <f>VLOOKUP(E184,Model!$A$27:$B$35,2,FALSE)</f>
        <v/>
      </c>
      <c r="I184" s="8">
        <f>MAX(Model!$B$22,H184-Model!$B$21)</f>
        <v/>
      </c>
      <c r="J184" s="8">
        <f>H184-I184</f>
        <v/>
      </c>
    </row>
    <row r="185">
      <c r="A185" s="8" t="inlineStr">
        <is>
          <t>Warlock|Great Old One Patron</t>
        </is>
      </c>
      <c r="B185" s="8" t="inlineStr">
        <is>
          <t>Warlock</t>
        </is>
      </c>
      <c r="C185" s="8" t="inlineStr">
        <is>
          <t>Great Old One Patron</t>
        </is>
      </c>
      <c r="D185" s="8" t="inlineStr">
        <is>
          <t>Clairvoyance</t>
        </is>
      </c>
      <c r="E185" s="8" t="n">
        <v>3</v>
      </c>
      <c r="F185" s="8" t="n">
        <v>5</v>
      </c>
      <c r="G185" s="8">
        <f>IF(F185&lt;=Model!$B$24,"PAID","free with bundle")</f>
        <v/>
      </c>
      <c r="H185" s="8">
        <f>VLOOKUP(E185,Model!$A$27:$B$35,2,FALSE)</f>
        <v/>
      </c>
      <c r="I185" s="8">
        <f>MAX(Model!$B$22,H185-Model!$B$21)</f>
        <v/>
      </c>
      <c r="J185" s="8">
        <f>H185-I185</f>
        <v/>
      </c>
    </row>
    <row r="186">
      <c r="A186" s="8" t="inlineStr">
        <is>
          <t>Warlock|Great Old One Patron</t>
        </is>
      </c>
      <c r="B186" s="8" t="inlineStr">
        <is>
          <t>Warlock</t>
        </is>
      </c>
      <c r="C186" s="8" t="inlineStr">
        <is>
          <t>Great Old One Patron</t>
        </is>
      </c>
      <c r="D186" s="8" t="inlineStr">
        <is>
          <t>Hunger of Hadar</t>
        </is>
      </c>
      <c r="E186" s="8" t="n">
        <v>3</v>
      </c>
      <c r="F186" s="8" t="n">
        <v>5</v>
      </c>
      <c r="G186" s="8">
        <f>IF(F186&lt;=Model!$B$24,"PAID","free with bundle")</f>
        <v/>
      </c>
      <c r="H186" s="8">
        <f>VLOOKUP(E186,Model!$A$27:$B$35,2,FALSE)</f>
        <v/>
      </c>
      <c r="I186" s="8">
        <f>MAX(Model!$B$22,H186-Model!$B$21)</f>
        <v/>
      </c>
      <c r="J186" s="8">
        <f>H186-I186</f>
        <v/>
      </c>
    </row>
    <row r="187">
      <c r="A187" s="8" t="inlineStr">
        <is>
          <t>Warlock|Great Old One Patron</t>
        </is>
      </c>
      <c r="B187" s="8" t="inlineStr">
        <is>
          <t>Warlock</t>
        </is>
      </c>
      <c r="C187" s="8" t="inlineStr">
        <is>
          <t>Great Old One Patron</t>
        </is>
      </c>
      <c r="D187" s="8" t="inlineStr">
        <is>
          <t>Confusion</t>
        </is>
      </c>
      <c r="E187" s="8" t="n">
        <v>4</v>
      </c>
      <c r="F187" s="8" t="n">
        <v>7</v>
      </c>
      <c r="G187" s="8">
        <f>IF(F187&lt;=Model!$B$24,"PAID","free with bundle")</f>
        <v/>
      </c>
      <c r="H187" s="8" t="n">
        <v>0</v>
      </c>
      <c r="I187" s="8" t="n">
        <v>0</v>
      </c>
      <c r="J187" s="8">
        <f>H187-I187</f>
        <v/>
      </c>
    </row>
    <row r="188">
      <c r="A188" s="8" t="inlineStr">
        <is>
          <t>Warlock|Great Old One Patron</t>
        </is>
      </c>
      <c r="B188" s="8" t="inlineStr">
        <is>
          <t>Warlock</t>
        </is>
      </c>
      <c r="C188" s="8" t="inlineStr">
        <is>
          <t>Great Old One Patron</t>
        </is>
      </c>
      <c r="D188" s="8" t="inlineStr">
        <is>
          <t>Summon Aberration</t>
        </is>
      </c>
      <c r="E188" s="8" t="n">
        <v>4</v>
      </c>
      <c r="F188" s="8" t="n">
        <v>7</v>
      </c>
      <c r="G188" s="8">
        <f>IF(F188&lt;=Model!$B$24,"PAID","free with bundle")</f>
        <v/>
      </c>
      <c r="H188" s="8" t="n">
        <v>0</v>
      </c>
      <c r="I188" s="8" t="n">
        <v>0</v>
      </c>
      <c r="J188" s="8">
        <f>H188-I188</f>
        <v/>
      </c>
    </row>
    <row r="189">
      <c r="A189" s="8" t="inlineStr">
        <is>
          <t>Warlock|Great Old One Patron</t>
        </is>
      </c>
      <c r="B189" s="8" t="inlineStr">
        <is>
          <t>Warlock</t>
        </is>
      </c>
      <c r="C189" s="8" t="inlineStr">
        <is>
          <t>Great Old One Patron</t>
        </is>
      </c>
      <c r="D189" s="8" t="inlineStr">
        <is>
          <t>Modify Memory</t>
        </is>
      </c>
      <c r="E189" s="8" t="n">
        <v>5</v>
      </c>
      <c r="F189" s="8" t="n">
        <v>9</v>
      </c>
      <c r="G189" s="8">
        <f>IF(F189&lt;=Model!$B$24,"PAID","free with bundle")</f>
        <v/>
      </c>
      <c r="H189" s="8" t="n">
        <v>0</v>
      </c>
      <c r="I189" s="8" t="n">
        <v>0</v>
      </c>
      <c r="J189" s="8">
        <f>H189-I189</f>
        <v/>
      </c>
    </row>
    <row r="190">
      <c r="A190" s="8" t="inlineStr">
        <is>
          <t>Warlock|Great Old One Patron</t>
        </is>
      </c>
      <c r="B190" s="8" t="inlineStr">
        <is>
          <t>Warlock</t>
        </is>
      </c>
      <c r="C190" s="8" t="inlineStr">
        <is>
          <t>Great Old One Patron</t>
        </is>
      </c>
      <c r="D190" s="8" t="inlineStr">
        <is>
          <t>Telekinesis</t>
        </is>
      </c>
      <c r="E190" s="8" t="n">
        <v>5</v>
      </c>
      <c r="F190" s="8" t="n">
        <v>9</v>
      </c>
      <c r="G190" s="8">
        <f>IF(F190&lt;=Model!$B$24,"PAID","free with bundle")</f>
        <v/>
      </c>
      <c r="H190" s="8" t="n">
        <v>0</v>
      </c>
      <c r="I190" s="8" t="n">
        <v>0</v>
      </c>
      <c r="J190" s="8">
        <f>H190-I190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8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8" customWidth="1" min="9" max="9"/>
    <col width="8" customWidth="1" min="10" max="10"/>
    <col width="11" customWidth="1" min="11" max="11"/>
    <col width="11" customWidth="1" min="12" max="12"/>
    <col width="34" customWidth="1" min="13" max="13"/>
    <col width="22" customWidth="1" min="14" max="14"/>
  </cols>
  <sheetData>
    <row r="1">
      <c r="A1" s="7" t="inlineStr">
        <is>
          <t>Class</t>
        </is>
      </c>
      <c r="B1" s="7" t="inlineStr">
        <is>
          <t>Subclass</t>
        </is>
      </c>
      <c r="C1" s="7" t="inlineStr">
        <is>
          <t>Paid
spells</t>
        </is>
      </c>
      <c r="D1" s="7" t="inlineStr">
        <is>
          <t>Free
spells</t>
        </is>
      </c>
      <c r="E1" s="7" t="inlineStr">
        <is>
          <t>Cross AP
derived</t>
        </is>
      </c>
      <c r="F1" s="7" t="inlineStr">
        <is>
          <t>Origin AP
derived</t>
        </is>
      </c>
      <c r="G1" s="7" t="inlineStr">
        <is>
          <t>Cross AP
ENGINE</t>
        </is>
      </c>
      <c r="H1" s="7" t="inlineStr">
        <is>
          <t>Origin AP
ENGINE</t>
        </is>
      </c>
      <c r="I1" s="7" t="inlineStr">
        <is>
          <t>Cross
diff</t>
        </is>
      </c>
      <c r="J1" s="7" t="inlineStr">
        <is>
          <t>Origin
diff</t>
        </is>
      </c>
      <c r="K1" s="7" t="inlineStr">
        <is>
          <t>Origin gap
derived</t>
        </is>
      </c>
      <c r="L1" s="7" t="inlineStr">
        <is>
          <t>Origin gap
ENGINE</t>
        </is>
      </c>
      <c r="M1" s="7" t="inlineStr">
        <is>
          <t>Is the discount applied twice?</t>
        </is>
      </c>
      <c r="N1" s="7" t="inlineStr">
        <is>
          <t>Derivation reproduces
engine?</t>
        </is>
      </c>
    </row>
    <row r="2">
      <c r="A2" s="8" t="inlineStr">
        <is>
          <t>Cleric</t>
        </is>
      </c>
      <c r="B2" s="8" t="inlineStr">
        <is>
          <t>Life Domain</t>
        </is>
      </c>
      <c r="C2" s="9" t="n">
        <v>6</v>
      </c>
      <c r="D2" s="9" t="n">
        <v>4</v>
      </c>
      <c r="E2" s="8">
        <f>SUMIFS('Per-spell working'!$H$2:$H$190,'Per-spell working'!$A$2:$A$190,"Cleric|Life Domain",'Per-spell working'!$G$2:$G$190,"PAID")</f>
        <v/>
      </c>
      <c r="F2" s="8">
        <f>SUMIFS('Per-spell working'!$I$2:$I$190,'Per-spell working'!$A$2:$A$190,"Cleric|Life Domain",'Per-spell working'!$G$2:$G$190,"PAID")</f>
        <v/>
      </c>
      <c r="G2" s="9" t="n">
        <v>8</v>
      </c>
      <c r="H2" s="9" t="n">
        <v>6</v>
      </c>
      <c r="I2" s="8">
        <f>G2-E2</f>
        <v/>
      </c>
      <c r="J2" s="8">
        <f>H2-F2</f>
        <v/>
      </c>
      <c r="K2" s="8">
        <f>E2-F2</f>
        <v/>
      </c>
      <c r="L2" s="8">
        <f>G2-H2</f>
        <v/>
      </c>
      <c r="M2" s="8">
        <f>IF(L2&gt;K2,"YES - engine gap exceeds model",IF(L2=K2,"no - applied exactly once","no - applied LESS than once"))</f>
        <v/>
      </c>
      <c r="N2" s="8">
        <f>IF(AND(I2=0,J2=0),"yes","NO")</f>
        <v/>
      </c>
    </row>
    <row r="3">
      <c r="A3" s="8" t="inlineStr">
        <is>
          <t>Cleric</t>
        </is>
      </c>
      <c r="B3" s="8" t="inlineStr">
        <is>
          <t>Light Domain</t>
        </is>
      </c>
      <c r="C3" s="9" t="n">
        <v>6</v>
      </c>
      <c r="D3" s="9" t="n">
        <v>4</v>
      </c>
      <c r="E3" s="8">
        <f>SUMIFS('Per-spell working'!$H$2:$H$190,'Per-spell working'!$A$2:$A$190,"Cleric|Light Domain",'Per-spell working'!$G$2:$G$190,"PAID")</f>
        <v/>
      </c>
      <c r="F3" s="8">
        <f>SUMIFS('Per-spell working'!$I$2:$I$190,'Per-spell working'!$A$2:$A$190,"Cleric|Light Domain",'Per-spell working'!$G$2:$G$190,"PAID")</f>
        <v/>
      </c>
      <c r="G3" s="9" t="n">
        <v>8</v>
      </c>
      <c r="H3" s="9" t="n">
        <v>6</v>
      </c>
      <c r="I3" s="8">
        <f>G3-E3</f>
        <v/>
      </c>
      <c r="J3" s="8">
        <f>H3-F3</f>
        <v/>
      </c>
      <c r="K3" s="8">
        <f>E3-F3</f>
        <v/>
      </c>
      <c r="L3" s="8">
        <f>G3-H3</f>
        <v/>
      </c>
      <c r="M3" s="8">
        <f>IF(L3&gt;K3,"YES - engine gap exceeds model",IF(L3=K3,"no - applied exactly once","no - applied LESS than once"))</f>
        <v/>
      </c>
      <c r="N3" s="8">
        <f>IF(AND(I3=0,J3=0),"yes","NO")</f>
        <v/>
      </c>
    </row>
    <row r="4">
      <c r="A4" s="8" t="inlineStr">
        <is>
          <t>Cleric</t>
        </is>
      </c>
      <c r="B4" s="8" t="inlineStr">
        <is>
          <t>Trickery Domain</t>
        </is>
      </c>
      <c r="C4" s="9" t="n">
        <v>6</v>
      </c>
      <c r="D4" s="9" t="n">
        <v>4</v>
      </c>
      <c r="E4" s="8">
        <f>SUMIFS('Per-spell working'!$H$2:$H$190,'Per-spell working'!$A$2:$A$190,"Cleric|Trickery Domain",'Per-spell working'!$G$2:$G$190,"PAID")</f>
        <v/>
      </c>
      <c r="F4" s="8">
        <f>SUMIFS('Per-spell working'!$I$2:$I$190,'Per-spell working'!$A$2:$A$190,"Cleric|Trickery Domain",'Per-spell working'!$G$2:$G$190,"PAID")</f>
        <v/>
      </c>
      <c r="G4" s="9" t="n">
        <v>8</v>
      </c>
      <c r="H4" s="9" t="n">
        <v>6</v>
      </c>
      <c r="I4" s="8">
        <f>G4-E4</f>
        <v/>
      </c>
      <c r="J4" s="8">
        <f>H4-F4</f>
        <v/>
      </c>
      <c r="K4" s="8">
        <f>E4-F4</f>
        <v/>
      </c>
      <c r="L4" s="8">
        <f>G4-H4</f>
        <v/>
      </c>
      <c r="M4" s="8">
        <f>IF(L4&gt;K4,"YES - engine gap exceeds model",IF(L4=K4,"no - applied exactly once","no - applied LESS than once"))</f>
        <v/>
      </c>
      <c r="N4" s="8">
        <f>IF(AND(I4=0,J4=0),"yes","NO")</f>
        <v/>
      </c>
    </row>
    <row r="5">
      <c r="A5" s="8" t="inlineStr">
        <is>
          <t>Cleric</t>
        </is>
      </c>
      <c r="B5" s="8" t="inlineStr">
        <is>
          <t>War Domain</t>
        </is>
      </c>
      <c r="C5" s="9" t="n">
        <v>6</v>
      </c>
      <c r="D5" s="9" t="n">
        <v>4</v>
      </c>
      <c r="E5" s="8">
        <f>SUMIFS('Per-spell working'!$H$2:$H$190,'Per-spell working'!$A$2:$A$190,"Cleric|War Domain",'Per-spell working'!$G$2:$G$190,"PAID")</f>
        <v/>
      </c>
      <c r="F5" s="8">
        <f>SUMIFS('Per-spell working'!$I$2:$I$190,'Per-spell working'!$A$2:$A$190,"Cleric|War Domain",'Per-spell working'!$G$2:$G$190,"PAID")</f>
        <v/>
      </c>
      <c r="G5" s="9" t="n">
        <v>8</v>
      </c>
      <c r="H5" s="9" t="n">
        <v>6</v>
      </c>
      <c r="I5" s="8">
        <f>G5-E5</f>
        <v/>
      </c>
      <c r="J5" s="8">
        <f>H5-F5</f>
        <v/>
      </c>
      <c r="K5" s="8">
        <f>E5-F5</f>
        <v/>
      </c>
      <c r="L5" s="8">
        <f>G5-H5</f>
        <v/>
      </c>
      <c r="M5" s="8">
        <f>IF(L5&gt;K5,"YES - engine gap exceeds model",IF(L5=K5,"no - applied exactly once","no - applied LESS than once"))</f>
        <v/>
      </c>
      <c r="N5" s="8">
        <f>IF(AND(I5=0,J5=0),"yes","NO")</f>
        <v/>
      </c>
    </row>
    <row r="6">
      <c r="A6" s="8" t="inlineStr">
        <is>
          <t>Druid</t>
        </is>
      </c>
      <c r="B6" s="8" t="inlineStr">
        <is>
          <t>Circle of the Land</t>
        </is>
      </c>
      <c r="C6" s="9" t="n">
        <v>4</v>
      </c>
      <c r="D6" s="9" t="n">
        <v>2</v>
      </c>
      <c r="E6" s="8">
        <f>SUMIFS('Per-spell working'!$H$2:$H$190,'Per-spell working'!$A$2:$A$190,"Druid|Circle of the Land",'Per-spell working'!$G$2:$G$190,"PAID")</f>
        <v/>
      </c>
      <c r="F6" s="8">
        <f>SUMIFS('Per-spell working'!$I$2:$I$190,'Per-spell working'!$A$2:$A$190,"Druid|Circle of the Land",'Per-spell working'!$G$2:$G$190,"PAID")</f>
        <v/>
      </c>
      <c r="G6" s="9" t="n">
        <v>8</v>
      </c>
      <c r="H6" s="9" t="n">
        <v>7</v>
      </c>
      <c r="I6" s="8">
        <f>G6-E6</f>
        <v/>
      </c>
      <c r="J6" s="8">
        <f>H6-F6</f>
        <v/>
      </c>
      <c r="K6" s="8">
        <f>E6-F6</f>
        <v/>
      </c>
      <c r="L6" s="8">
        <f>G6-H6</f>
        <v/>
      </c>
      <c r="M6" s="8">
        <f>IF(L6&gt;K6,"YES - engine gap exceeds model",IF(L6=K6,"no - applied exactly once","no - applied LESS than once"))</f>
        <v/>
      </c>
      <c r="N6" s="8">
        <f>IF(AND(I6=0,J6=0),"yes","NO")</f>
        <v/>
      </c>
    </row>
    <row r="7">
      <c r="A7" s="8" t="inlineStr">
        <is>
          <t>Druid</t>
        </is>
      </c>
      <c r="B7" s="8" t="inlineStr">
        <is>
          <t>Circle of the Moon</t>
        </is>
      </c>
      <c r="C7" s="9" t="n">
        <v>4</v>
      </c>
      <c r="D7" s="9" t="n">
        <v>2</v>
      </c>
      <c r="E7" s="8">
        <f>SUMIFS('Per-spell working'!$H$2:$H$190,'Per-spell working'!$A$2:$A$190,"Druid|Circle of the Moon",'Per-spell working'!$G$2:$G$190,"PAID")</f>
        <v/>
      </c>
      <c r="F7" s="8">
        <f>SUMIFS('Per-spell working'!$I$2:$I$190,'Per-spell working'!$A$2:$A$190,"Druid|Circle of the Moon",'Per-spell working'!$G$2:$G$190,"PAID")</f>
        <v/>
      </c>
      <c r="G7" s="9" t="n">
        <v>8</v>
      </c>
      <c r="H7" s="9" t="n">
        <v>7</v>
      </c>
      <c r="I7" s="8">
        <f>G7-E7</f>
        <v/>
      </c>
      <c r="J7" s="8">
        <f>H7-F7</f>
        <v/>
      </c>
      <c r="K7" s="8">
        <f>E7-F7</f>
        <v/>
      </c>
      <c r="L7" s="8">
        <f>G7-H7</f>
        <v/>
      </c>
      <c r="M7" s="8">
        <f>IF(L7&gt;K7,"YES - engine gap exceeds model",IF(L7=K7,"no - applied exactly once","no - applied LESS than once"))</f>
        <v/>
      </c>
      <c r="N7" s="8">
        <f>IF(AND(I7=0,J7=0),"yes","NO")</f>
        <v/>
      </c>
    </row>
    <row r="8">
      <c r="A8" s="8" t="inlineStr">
        <is>
          <t>Druid</t>
        </is>
      </c>
      <c r="B8" s="8" t="inlineStr">
        <is>
          <t>Circle of the Sea</t>
        </is>
      </c>
      <c r="C8" s="9" t="n">
        <v>7</v>
      </c>
      <c r="D8" s="9" t="n">
        <v>4</v>
      </c>
      <c r="E8" s="8">
        <f>SUMIFS('Per-spell working'!$H$2:$H$190,'Per-spell working'!$A$2:$A$190,"Druid|Circle of the Sea",'Per-spell working'!$G$2:$G$190,"PAID")</f>
        <v/>
      </c>
      <c r="F8" s="8">
        <f>SUMIFS('Per-spell working'!$I$2:$I$190,'Per-spell working'!$A$2:$A$190,"Druid|Circle of the Sea",'Per-spell working'!$G$2:$G$190,"PAID")</f>
        <v/>
      </c>
      <c r="G8" s="9" t="n">
        <v>11</v>
      </c>
      <c r="H8" s="9" t="n">
        <v>9</v>
      </c>
      <c r="I8" s="8">
        <f>G8-E8</f>
        <v/>
      </c>
      <c r="J8" s="8">
        <f>H8-F8</f>
        <v/>
      </c>
      <c r="K8" s="8">
        <f>E8-F8</f>
        <v/>
      </c>
      <c r="L8" s="8">
        <f>G8-H8</f>
        <v/>
      </c>
      <c r="M8" s="8">
        <f>IF(L8&gt;K8,"YES - engine gap exceeds model",IF(L8=K8,"no - applied exactly once","no - applied LESS than once"))</f>
        <v/>
      </c>
      <c r="N8" s="8">
        <f>IF(AND(I8=0,J8=0),"yes","NO")</f>
        <v/>
      </c>
    </row>
    <row r="9">
      <c r="A9" s="8" t="inlineStr">
        <is>
          <t>Druid</t>
        </is>
      </c>
      <c r="B9" s="8" t="inlineStr">
        <is>
          <t>Circle of the Stars</t>
        </is>
      </c>
      <c r="C9" s="9" t="n">
        <v>2</v>
      </c>
      <c r="D9" s="9" t="n">
        <v>0</v>
      </c>
      <c r="E9" s="8">
        <f>SUMIFS('Per-spell working'!$H$2:$H$190,'Per-spell working'!$A$2:$A$190,"Druid|Circle of the Stars",'Per-spell working'!$G$2:$G$190,"PAID")</f>
        <v/>
      </c>
      <c r="F9" s="8">
        <f>SUMIFS('Per-spell working'!$I$2:$I$190,'Per-spell working'!$A$2:$A$190,"Druid|Circle of the Stars",'Per-spell working'!$G$2:$G$190,"PAID")</f>
        <v/>
      </c>
      <c r="G9" s="9" t="n">
        <v>5</v>
      </c>
      <c r="H9" s="9" t="n">
        <v>5</v>
      </c>
      <c r="I9" s="8">
        <f>G9-E9</f>
        <v/>
      </c>
      <c r="J9" s="8">
        <f>H9-F9</f>
        <v/>
      </c>
      <c r="K9" s="8">
        <f>E9-F9</f>
        <v/>
      </c>
      <c r="L9" s="8">
        <f>G9-H9</f>
        <v/>
      </c>
      <c r="M9" s="8">
        <f>IF(L9&gt;K9,"YES - engine gap exceeds model",IF(L9=K9,"no - applied exactly once","no - applied LESS than once"))</f>
        <v/>
      </c>
      <c r="N9" s="8">
        <f>IF(AND(I9=0,J9=0),"yes","NO")</f>
        <v/>
      </c>
    </row>
    <row r="10">
      <c r="A10" s="8" t="inlineStr">
        <is>
          <t>Paladin</t>
        </is>
      </c>
      <c r="B10" s="8" t="inlineStr">
        <is>
          <t>Oath of Devotion</t>
        </is>
      </c>
      <c r="C10" s="9" t="n">
        <v>4</v>
      </c>
      <c r="D10" s="9" t="n">
        <v>6</v>
      </c>
      <c r="E10" s="8">
        <f>SUMIFS('Per-spell working'!$H$2:$H$190,'Per-spell working'!$A$2:$A$190,"Paladin|Oath of Devotion",'Per-spell working'!$G$2:$G$190,"PAID")</f>
        <v/>
      </c>
      <c r="F10" s="8">
        <f>SUMIFS('Per-spell working'!$I$2:$I$190,'Per-spell working'!$A$2:$A$190,"Paladin|Oath of Devotion",'Per-spell working'!$G$2:$G$190,"PAID")</f>
        <v/>
      </c>
      <c r="G10" s="9" t="n">
        <v>4</v>
      </c>
      <c r="H10" s="9" t="n">
        <v>4</v>
      </c>
      <c r="I10" s="8">
        <f>G10-E10</f>
        <v/>
      </c>
      <c r="J10" s="8">
        <f>H10-F10</f>
        <v/>
      </c>
      <c r="K10" s="8">
        <f>E10-F10</f>
        <v/>
      </c>
      <c r="L10" s="8">
        <f>G10-H10</f>
        <v/>
      </c>
      <c r="M10" s="8">
        <f>IF(L10&gt;K10,"YES - engine gap exceeds model",IF(L10=K10,"no - applied exactly once","no - applied LESS than once"))</f>
        <v/>
      </c>
      <c r="N10" s="8">
        <f>IF(AND(I10=0,J10=0),"yes","NO")</f>
        <v/>
      </c>
    </row>
    <row r="11">
      <c r="A11" s="8" t="inlineStr">
        <is>
          <t>Paladin</t>
        </is>
      </c>
      <c r="B11" s="8" t="inlineStr">
        <is>
          <t>Oath of Glory</t>
        </is>
      </c>
      <c r="C11" s="9" t="n">
        <v>4</v>
      </c>
      <c r="D11" s="9" t="n">
        <v>6</v>
      </c>
      <c r="E11" s="8">
        <f>SUMIFS('Per-spell working'!$H$2:$H$190,'Per-spell working'!$A$2:$A$190,"Paladin|Oath of Glory",'Per-spell working'!$G$2:$G$190,"PAID")</f>
        <v/>
      </c>
      <c r="F11" s="8">
        <f>SUMIFS('Per-spell working'!$I$2:$I$190,'Per-spell working'!$A$2:$A$190,"Paladin|Oath of Glory",'Per-spell working'!$G$2:$G$190,"PAID")</f>
        <v/>
      </c>
      <c r="G11" s="9" t="n">
        <v>4</v>
      </c>
      <c r="H11" s="9" t="n">
        <v>4</v>
      </c>
      <c r="I11" s="8">
        <f>G11-E11</f>
        <v/>
      </c>
      <c r="J11" s="8">
        <f>H11-F11</f>
        <v/>
      </c>
      <c r="K11" s="8">
        <f>E11-F11</f>
        <v/>
      </c>
      <c r="L11" s="8">
        <f>G11-H11</f>
        <v/>
      </c>
      <c r="M11" s="8">
        <f>IF(L11&gt;K11,"YES - engine gap exceeds model",IF(L11=K11,"no - applied exactly once","no - applied LESS than once"))</f>
        <v/>
      </c>
      <c r="N11" s="8">
        <f>IF(AND(I11=0,J11=0),"yes","NO")</f>
        <v/>
      </c>
    </row>
    <row r="12">
      <c r="A12" s="8" t="inlineStr">
        <is>
          <t>Paladin</t>
        </is>
      </c>
      <c r="B12" s="8" t="inlineStr">
        <is>
          <t>Oath of the Ancients</t>
        </is>
      </c>
      <c r="C12" s="9" t="n">
        <v>4</v>
      </c>
      <c r="D12" s="9" t="n">
        <v>6</v>
      </c>
      <c r="E12" s="8">
        <f>SUMIFS('Per-spell working'!$H$2:$H$190,'Per-spell working'!$A$2:$A$190,"Paladin|Oath of the Ancients",'Per-spell working'!$G$2:$G$190,"PAID")</f>
        <v/>
      </c>
      <c r="F12" s="8">
        <f>SUMIFS('Per-spell working'!$I$2:$I$190,'Per-spell working'!$A$2:$A$190,"Paladin|Oath of the Ancients",'Per-spell working'!$G$2:$G$190,"PAID")</f>
        <v/>
      </c>
      <c r="G12" s="9" t="n">
        <v>4</v>
      </c>
      <c r="H12" s="9" t="n">
        <v>4</v>
      </c>
      <c r="I12" s="8">
        <f>G12-E12</f>
        <v/>
      </c>
      <c r="J12" s="8">
        <f>H12-F12</f>
        <v/>
      </c>
      <c r="K12" s="8">
        <f>E12-F12</f>
        <v/>
      </c>
      <c r="L12" s="8">
        <f>G12-H12</f>
        <v/>
      </c>
      <c r="M12" s="8">
        <f>IF(L12&gt;K12,"YES - engine gap exceeds model",IF(L12=K12,"no - applied exactly once","no - applied LESS than once"))</f>
        <v/>
      </c>
      <c r="N12" s="8">
        <f>IF(AND(I12=0,J12=0),"yes","NO")</f>
        <v/>
      </c>
    </row>
    <row r="13">
      <c r="A13" s="8" t="inlineStr">
        <is>
          <t>Paladin</t>
        </is>
      </c>
      <c r="B13" s="8" t="inlineStr">
        <is>
          <t>Oath of Vengeance</t>
        </is>
      </c>
      <c r="C13" s="9" t="n">
        <v>4</v>
      </c>
      <c r="D13" s="9" t="n">
        <v>6</v>
      </c>
      <c r="E13" s="8">
        <f>SUMIFS('Per-spell working'!$H$2:$H$190,'Per-spell working'!$A$2:$A$190,"Paladin|Oath of Vengeance",'Per-spell working'!$G$2:$G$190,"PAID")</f>
        <v/>
      </c>
      <c r="F13" s="8">
        <f>SUMIFS('Per-spell working'!$I$2:$I$190,'Per-spell working'!$A$2:$A$190,"Paladin|Oath of Vengeance",'Per-spell working'!$G$2:$G$190,"PAID")</f>
        <v/>
      </c>
      <c r="G13" s="9" t="n">
        <v>4</v>
      </c>
      <c r="H13" s="9" t="n">
        <v>4</v>
      </c>
      <c r="I13" s="8">
        <f>G13-E13</f>
        <v/>
      </c>
      <c r="J13" s="8">
        <f>H13-F13</f>
        <v/>
      </c>
      <c r="K13" s="8">
        <f>E13-F13</f>
        <v/>
      </c>
      <c r="L13" s="8">
        <f>G13-H13</f>
        <v/>
      </c>
      <c r="M13" s="8">
        <f>IF(L13&gt;K13,"YES - engine gap exceeds model",IF(L13=K13,"no - applied exactly once","no - applied LESS than once"))</f>
        <v/>
      </c>
      <c r="N13" s="8">
        <f>IF(AND(I13=0,J13=0),"yes","NO")</f>
        <v/>
      </c>
    </row>
    <row r="14">
      <c r="A14" s="8" t="inlineStr">
        <is>
          <t>Ranger</t>
        </is>
      </c>
      <c r="B14" s="8" t="inlineStr">
        <is>
          <t>Fey Wanderer</t>
        </is>
      </c>
      <c r="C14" s="9" t="n">
        <v>2</v>
      </c>
      <c r="D14" s="9" t="n">
        <v>3</v>
      </c>
      <c r="E14" s="8">
        <f>SUMIFS('Per-spell working'!$H$2:$H$190,'Per-spell working'!$A$2:$A$190,"Ranger|Fey Wanderer",'Per-spell working'!$G$2:$G$190,"PAID")</f>
        <v/>
      </c>
      <c r="F14" s="8">
        <f>SUMIFS('Per-spell working'!$I$2:$I$190,'Per-spell working'!$A$2:$A$190,"Ranger|Fey Wanderer",'Per-spell working'!$G$2:$G$190,"PAID")</f>
        <v/>
      </c>
      <c r="G14" s="9" t="n">
        <v>2</v>
      </c>
      <c r="H14" s="9" t="n">
        <v>2</v>
      </c>
      <c r="I14" s="8">
        <f>G14-E14</f>
        <v/>
      </c>
      <c r="J14" s="8">
        <f>H14-F14</f>
        <v/>
      </c>
      <c r="K14" s="8">
        <f>E14-F14</f>
        <v/>
      </c>
      <c r="L14" s="8">
        <f>G14-H14</f>
        <v/>
      </c>
      <c r="M14" s="8">
        <f>IF(L14&gt;K14,"YES - engine gap exceeds model",IF(L14=K14,"no - applied exactly once","no - applied LESS than once"))</f>
        <v/>
      </c>
      <c r="N14" s="8">
        <f>IF(AND(I14=0,J14=0),"yes","NO")</f>
        <v/>
      </c>
    </row>
    <row r="15">
      <c r="A15" s="8" t="inlineStr">
        <is>
          <t>Ranger</t>
        </is>
      </c>
      <c r="B15" s="8" t="inlineStr">
        <is>
          <t>Gloom Stalker</t>
        </is>
      </c>
      <c r="C15" s="9" t="n">
        <v>2</v>
      </c>
      <c r="D15" s="9" t="n">
        <v>3</v>
      </c>
      <c r="E15" s="8">
        <f>SUMIFS('Per-spell working'!$H$2:$H$190,'Per-spell working'!$A$2:$A$190,"Ranger|Gloom Stalker",'Per-spell working'!$G$2:$G$190,"PAID")</f>
        <v/>
      </c>
      <c r="F15" s="8">
        <f>SUMIFS('Per-spell working'!$I$2:$I$190,'Per-spell working'!$A$2:$A$190,"Ranger|Gloom Stalker",'Per-spell working'!$G$2:$G$190,"PAID")</f>
        <v/>
      </c>
      <c r="G15" s="9" t="n">
        <v>2</v>
      </c>
      <c r="H15" s="9" t="n">
        <v>2</v>
      </c>
      <c r="I15" s="8">
        <f>G15-E15</f>
        <v/>
      </c>
      <c r="J15" s="8">
        <f>H15-F15</f>
        <v/>
      </c>
      <c r="K15" s="8">
        <f>E15-F15</f>
        <v/>
      </c>
      <c r="L15" s="8">
        <f>G15-H15</f>
        <v/>
      </c>
      <c r="M15" s="8">
        <f>IF(L15&gt;K15,"YES - engine gap exceeds model",IF(L15=K15,"no - applied exactly once","no - applied LESS than once"))</f>
        <v/>
      </c>
      <c r="N15" s="8">
        <f>IF(AND(I15=0,J15=0),"yes","NO")</f>
        <v/>
      </c>
    </row>
    <row r="16">
      <c r="A16" s="8" t="inlineStr">
        <is>
          <t>Sorcerer</t>
        </is>
      </c>
      <c r="B16" s="8" t="inlineStr">
        <is>
          <t>Aberrant Sorcery</t>
        </is>
      </c>
      <c r="C16" s="9" t="n">
        <v>7</v>
      </c>
      <c r="D16" s="9" t="n">
        <v>4</v>
      </c>
      <c r="E16" s="8">
        <f>SUMIFS('Per-spell working'!$H$2:$H$190,'Per-spell working'!$A$2:$A$190,"Sorcerer|Aberrant Sorcery",'Per-spell working'!$G$2:$G$190,"PAID")</f>
        <v/>
      </c>
      <c r="F16" s="8">
        <f>SUMIFS('Per-spell working'!$I$2:$I$190,'Per-spell working'!$A$2:$A$190,"Sorcerer|Aberrant Sorcery",'Per-spell working'!$G$2:$G$190,"PAID")</f>
        <v/>
      </c>
      <c r="G16" s="9" t="n">
        <v>12</v>
      </c>
      <c r="H16" s="9" t="n">
        <v>10</v>
      </c>
      <c r="I16" s="8">
        <f>G16-E16</f>
        <v/>
      </c>
      <c r="J16" s="8">
        <f>H16-F16</f>
        <v/>
      </c>
      <c r="K16" s="8">
        <f>E16-F16</f>
        <v/>
      </c>
      <c r="L16" s="8">
        <f>G16-H16</f>
        <v/>
      </c>
      <c r="M16" s="8">
        <f>IF(L16&gt;K16,"YES - engine gap exceeds model",IF(L16=K16,"no - applied exactly once","no - applied LESS than once"))</f>
        <v/>
      </c>
      <c r="N16" s="8">
        <f>IF(AND(I16=0,J16=0),"yes","NO")</f>
        <v/>
      </c>
    </row>
    <row r="17">
      <c r="A17" s="8" t="inlineStr">
        <is>
          <t>Sorcerer</t>
        </is>
      </c>
      <c r="B17" s="8" t="inlineStr">
        <is>
          <t>Clockwork Sorcery</t>
        </is>
      </c>
      <c r="C17" s="9" t="n">
        <v>6</v>
      </c>
      <c r="D17" s="9" t="n">
        <v>4</v>
      </c>
      <c r="E17" s="8">
        <f>SUMIFS('Per-spell working'!$H$2:$H$190,'Per-spell working'!$A$2:$A$190,"Sorcerer|Clockwork Sorcery",'Per-spell working'!$G$2:$G$190,"PAID")</f>
        <v/>
      </c>
      <c r="F17" s="8">
        <f>SUMIFS('Per-spell working'!$I$2:$I$190,'Per-spell working'!$A$2:$A$190,"Sorcerer|Clockwork Sorcery",'Per-spell working'!$G$2:$G$190,"PAID")</f>
        <v/>
      </c>
      <c r="G17" s="9" t="n">
        <v>8</v>
      </c>
      <c r="H17" s="9" t="n">
        <v>6</v>
      </c>
      <c r="I17" s="8">
        <f>G17-E17</f>
        <v/>
      </c>
      <c r="J17" s="8">
        <f>H17-F17</f>
        <v/>
      </c>
      <c r="K17" s="8">
        <f>E17-F17</f>
        <v/>
      </c>
      <c r="L17" s="8">
        <f>G17-H17</f>
        <v/>
      </c>
      <c r="M17" s="8">
        <f>IF(L17&gt;K17,"YES - engine gap exceeds model",IF(L17=K17,"no - applied exactly once","no - applied LESS than once"))</f>
        <v/>
      </c>
      <c r="N17" s="8">
        <f>IF(AND(I17=0,J17=0),"yes","NO")</f>
        <v/>
      </c>
    </row>
    <row r="18">
      <c r="A18" s="8" t="inlineStr">
        <is>
          <t>Sorcerer</t>
        </is>
      </c>
      <c r="B18" s="8" t="inlineStr">
        <is>
          <t>Draconic Sorcery</t>
        </is>
      </c>
      <c r="C18" s="9" t="n">
        <v>6</v>
      </c>
      <c r="D18" s="9" t="n">
        <v>4</v>
      </c>
      <c r="E18" s="8">
        <f>SUMIFS('Per-spell working'!$H$2:$H$190,'Per-spell working'!$A$2:$A$190,"Sorcerer|Draconic Sorcery",'Per-spell working'!$G$2:$G$190,"PAID")</f>
        <v/>
      </c>
      <c r="F18" s="8">
        <f>SUMIFS('Per-spell working'!$I$2:$I$190,'Per-spell working'!$A$2:$A$190,"Sorcerer|Draconic Sorcery",'Per-spell working'!$G$2:$G$190,"PAID")</f>
        <v/>
      </c>
      <c r="G18" s="9" t="n">
        <v>8</v>
      </c>
      <c r="H18" s="9" t="n">
        <v>6</v>
      </c>
      <c r="I18" s="8">
        <f>G18-E18</f>
        <v/>
      </c>
      <c r="J18" s="8">
        <f>H18-F18</f>
        <v/>
      </c>
      <c r="K18" s="8">
        <f>E18-F18</f>
        <v/>
      </c>
      <c r="L18" s="8">
        <f>G18-H18</f>
        <v/>
      </c>
      <c r="M18" s="8">
        <f>IF(L18&gt;K18,"YES - engine gap exceeds model",IF(L18=K18,"no - applied exactly once","no - applied LESS than once"))</f>
        <v/>
      </c>
      <c r="N18" s="8">
        <f>IF(AND(I18=0,J18=0),"yes","NO")</f>
        <v/>
      </c>
    </row>
    <row r="19">
      <c r="A19" s="8" t="inlineStr">
        <is>
          <t>Warlock</t>
        </is>
      </c>
      <c r="B19" s="8" t="inlineStr">
        <is>
          <t>Archfey Patron</t>
        </is>
      </c>
      <c r="C19" s="9" t="n">
        <v>7</v>
      </c>
      <c r="D19" s="9" t="n">
        <v>4</v>
      </c>
      <c r="E19" s="8">
        <f>SUMIFS('Per-spell working'!$H$2:$H$190,'Per-spell working'!$A$2:$A$190,"Warlock|Archfey Patron",'Per-spell working'!$G$2:$G$190,"PAID")</f>
        <v/>
      </c>
      <c r="F19" s="8">
        <f>SUMIFS('Per-spell working'!$I$2:$I$190,'Per-spell working'!$A$2:$A$190,"Warlock|Archfey Patron",'Per-spell working'!$G$2:$G$190,"PAID")</f>
        <v/>
      </c>
      <c r="G19" s="9" t="n">
        <v>9</v>
      </c>
      <c r="H19" s="9" t="n">
        <v>7</v>
      </c>
      <c r="I19" s="8">
        <f>G19-E19</f>
        <v/>
      </c>
      <c r="J19" s="8">
        <f>H19-F19</f>
        <v/>
      </c>
      <c r="K19" s="8">
        <f>E19-F19</f>
        <v/>
      </c>
      <c r="L19" s="8">
        <f>G19-H19</f>
        <v/>
      </c>
      <c r="M19" s="8">
        <f>IF(L19&gt;K19,"YES - engine gap exceeds model",IF(L19=K19,"no - applied exactly once","no - applied LESS than once"))</f>
        <v/>
      </c>
      <c r="N19" s="8">
        <f>IF(AND(I19=0,J19=0),"yes","NO")</f>
        <v/>
      </c>
    </row>
    <row r="20">
      <c r="A20" s="8" t="inlineStr">
        <is>
          <t>Warlock</t>
        </is>
      </c>
      <c r="B20" s="8" t="inlineStr">
        <is>
          <t>Celestial Patron</t>
        </is>
      </c>
      <c r="C20" s="9" t="n">
        <v>8</v>
      </c>
      <c r="D20" s="9" t="n">
        <v>4</v>
      </c>
      <c r="E20" s="8">
        <f>SUMIFS('Per-spell working'!$H$2:$H$190,'Per-spell working'!$A$2:$A$190,"Warlock|Celestial Patron",'Per-spell working'!$G$2:$G$190,"PAID")</f>
        <v/>
      </c>
      <c r="F20" s="8">
        <f>SUMIFS('Per-spell working'!$I$2:$I$190,'Per-spell working'!$A$2:$A$190,"Warlock|Celestial Patron",'Per-spell working'!$G$2:$G$190,"PAID")</f>
        <v/>
      </c>
      <c r="G20" s="9" t="n">
        <v>16</v>
      </c>
      <c r="H20" s="9" t="n">
        <v>14</v>
      </c>
      <c r="I20" s="8">
        <f>G20-E20</f>
        <v/>
      </c>
      <c r="J20" s="8">
        <f>H20-F20</f>
        <v/>
      </c>
      <c r="K20" s="8">
        <f>E20-F20</f>
        <v/>
      </c>
      <c r="L20" s="8">
        <f>G20-H20</f>
        <v/>
      </c>
      <c r="M20" s="8">
        <f>IF(L20&gt;K20,"YES - engine gap exceeds model",IF(L20=K20,"no - applied exactly once","no - applied LESS than once"))</f>
        <v/>
      </c>
      <c r="N20" s="8">
        <f>IF(AND(I20=0,J20=0),"yes","NO")</f>
        <v/>
      </c>
    </row>
    <row r="21">
      <c r="A21" s="8" t="inlineStr">
        <is>
          <t>Warlock</t>
        </is>
      </c>
      <c r="B21" s="8" t="inlineStr">
        <is>
          <t>Fiend Patron</t>
        </is>
      </c>
      <c r="C21" s="9" t="n">
        <v>6</v>
      </c>
      <c r="D21" s="9" t="n">
        <v>4</v>
      </c>
      <c r="E21" s="8">
        <f>SUMIFS('Per-spell working'!$H$2:$H$190,'Per-spell working'!$A$2:$A$190,"Warlock|Fiend Patron",'Per-spell working'!$G$2:$G$190,"PAID")</f>
        <v/>
      </c>
      <c r="F21" s="8">
        <f>SUMIFS('Per-spell working'!$I$2:$I$190,'Per-spell working'!$A$2:$A$190,"Warlock|Fiend Patron",'Per-spell working'!$G$2:$G$190,"PAID")</f>
        <v/>
      </c>
      <c r="G21" s="9" t="n">
        <v>8</v>
      </c>
      <c r="H21" s="9" t="n">
        <v>6</v>
      </c>
      <c r="I21" s="8">
        <f>G21-E21</f>
        <v/>
      </c>
      <c r="J21" s="8">
        <f>H21-F21</f>
        <v/>
      </c>
      <c r="K21" s="8">
        <f>E21-F21</f>
        <v/>
      </c>
      <c r="L21" s="8">
        <f>G21-H21</f>
        <v/>
      </c>
      <c r="M21" s="8">
        <f>IF(L21&gt;K21,"YES - engine gap exceeds model",IF(L21=K21,"no - applied exactly once","no - applied LESS than once"))</f>
        <v/>
      </c>
      <c r="N21" s="8">
        <f>IF(AND(I21=0,J21=0),"yes","NO")</f>
        <v/>
      </c>
    </row>
    <row r="22">
      <c r="A22" s="8" t="inlineStr">
        <is>
          <t>Warlock</t>
        </is>
      </c>
      <c r="B22" s="8" t="inlineStr">
        <is>
          <t>Great Old One Patron</t>
        </is>
      </c>
      <c r="C22" s="9" t="n">
        <v>6</v>
      </c>
      <c r="D22" s="9" t="n">
        <v>4</v>
      </c>
      <c r="E22" s="8">
        <f>SUMIFS('Per-spell working'!$H$2:$H$190,'Per-spell working'!$A$2:$A$190,"Warlock|Great Old One Patron",'Per-spell working'!$G$2:$G$190,"PAID")</f>
        <v/>
      </c>
      <c r="F22" s="8">
        <f>SUMIFS('Per-spell working'!$I$2:$I$190,'Per-spell working'!$A$2:$A$190,"Warlock|Great Old One Patron",'Per-spell working'!$G$2:$G$190,"PAID")</f>
        <v/>
      </c>
      <c r="G22" s="9" t="n">
        <v>8</v>
      </c>
      <c r="H22" s="9" t="n">
        <v>6</v>
      </c>
      <c r="I22" s="8">
        <f>G22-E22</f>
        <v/>
      </c>
      <c r="J22" s="8">
        <f>H22-F22</f>
        <v/>
      </c>
      <c r="K22" s="8">
        <f>E22-F22</f>
        <v/>
      </c>
      <c r="L22" s="8">
        <f>G22-H22</f>
        <v/>
      </c>
      <c r="M22" s="8">
        <f>IF(L22&gt;K22,"YES - engine gap exceeds model",IF(L22=K22,"no - applied exactly once","no - applied LESS than once"))</f>
        <v/>
      </c>
      <c r="N22" s="8">
        <f>IF(AND(I22=0,J22=0),"yes","NO")</f>
        <v/>
      </c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11" t="inlineStr">
        <is>
          <t>Subclasses of these classes that sell NO bundle - nothing to buy, no cost, no option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8" t="inlineStr">
        <is>
          <t>Ranger</t>
        </is>
      </c>
      <c r="B25" s="8" t="inlineStr">
        <is>
          <t>Beast Master</t>
        </is>
      </c>
      <c r="C25" s="10" t="n"/>
      <c r="D25" s="10" t="n"/>
      <c r="E25" s="10" t="n"/>
      <c r="F25" s="10" t="n"/>
      <c r="G25" s="9" t="inlineStr">
        <is>
          <t>none</t>
        </is>
      </c>
      <c r="H25" s="9" t="inlineStr">
        <is>
          <t>none</t>
        </is>
      </c>
      <c r="I25" s="10" t="n"/>
      <c r="J25" s="10" t="n"/>
      <c r="K25" s="10" t="n"/>
      <c r="L25" s="10" t="n"/>
      <c r="M25" s="9" t="inlineStr">
        <is>
          <t>n/a - nothing to buy</t>
        </is>
      </c>
      <c r="N25" s="10" t="n"/>
    </row>
    <row r="26">
      <c r="A26" s="8" t="inlineStr">
        <is>
          <t>Ranger</t>
        </is>
      </c>
      <c r="B26" s="8" t="inlineStr">
        <is>
          <t>Hunter</t>
        </is>
      </c>
      <c r="C26" s="10" t="n"/>
      <c r="D26" s="10" t="n"/>
      <c r="E26" s="10" t="n"/>
      <c r="F26" s="10" t="n"/>
      <c r="G26" s="9" t="inlineStr">
        <is>
          <t>none</t>
        </is>
      </c>
      <c r="H26" s="9" t="inlineStr">
        <is>
          <t>none</t>
        </is>
      </c>
      <c r="I26" s="10" t="n"/>
      <c r="J26" s="10" t="n"/>
      <c r="K26" s="10" t="n"/>
      <c r="L26" s="10" t="n"/>
      <c r="M26" s="9" t="inlineStr">
        <is>
          <t>n/a - nothing to buy</t>
        </is>
      </c>
      <c r="N26" s="10" t="n"/>
    </row>
    <row r="27">
      <c r="A27" s="8" t="inlineStr">
        <is>
          <t>Sorcerer</t>
        </is>
      </c>
      <c r="B27" s="8" t="inlineStr">
        <is>
          <t>Wild Magic Sorcery</t>
        </is>
      </c>
      <c r="C27" s="10" t="n"/>
      <c r="D27" s="10" t="n"/>
      <c r="E27" s="10" t="n"/>
      <c r="F27" s="10" t="n"/>
      <c r="G27" s="9" t="inlineStr">
        <is>
          <t>none</t>
        </is>
      </c>
      <c r="H27" s="9" t="inlineStr">
        <is>
          <t>none</t>
        </is>
      </c>
      <c r="I27" s="10" t="n"/>
      <c r="J27" s="10" t="n"/>
      <c r="K27" s="10" t="n"/>
      <c r="L27" s="10" t="n"/>
      <c r="M27" s="9" t="inlineStr">
        <is>
          <t>n/a - nothing to buy</t>
        </is>
      </c>
      <c r="N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11" t="inlineStr">
        <is>
          <t>Column M is the direct answer to 'is the origin discount applied twice?' - a doubled discount would make the ENGINE gap (L) exceed the model gap (K). It never does.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48" customWidth="1" min="5" max="5"/>
  </cols>
  <sheetData>
    <row r="1">
      <c r="A1" s="12" t="inlineStr">
        <is>
          <t>What the same buyer pays, by relationship to the class</t>
        </is>
      </c>
    </row>
    <row r="2">
      <c r="A2" s="6" t="inlineStr">
        <is>
          <t>Verified by running compute(), not read off the source.</t>
        </is>
      </c>
    </row>
    <row r="4">
      <c r="A4" s="13" t="inlineStr">
        <is>
          <t>Purchase</t>
        </is>
      </c>
      <c r="B4" s="13" t="inlineStr">
        <is>
          <t>Origin class</t>
        </is>
      </c>
      <c r="C4" s="13" t="inlineStr">
        <is>
          <t>Class unlocked,
not origin</t>
        </is>
      </c>
      <c r="D4" s="13" t="inlineStr">
        <is>
          <t>Neither</t>
        </is>
      </c>
      <c r="E4" s="13" t="inlineStr">
        <is>
          <t>How that middle figure is reached</t>
        </is>
      </c>
    </row>
    <row r="5">
      <c r="A5" s="6" t="inlineStr">
        <is>
          <t>Feature: Cleric: Blessed Strikes</t>
        </is>
      </c>
      <c r="B5" s="3" t="n">
        <v>10</v>
      </c>
      <c r="C5" s="3" t="n">
        <v>13</v>
      </c>
      <c r="D5" s="3" t="n">
        <v>17</v>
      </c>
      <c r="E5" s="14" t="inlineStr">
        <is>
          <t>sticker = cross - tier = 17 - 4 = 13</t>
        </is>
      </c>
    </row>
    <row r="6">
      <c r="A6" s="6" t="inlineStr">
        <is>
          <t>Bundle: Cleric | Life Domain</t>
        </is>
      </c>
      <c r="B6" s="3" t="n">
        <v>6</v>
      </c>
      <c r="C6" s="3" t="n">
        <v>8</v>
      </c>
      <c r="D6" s="3" t="n">
        <v>8</v>
      </c>
      <c r="E6" s="14" t="inlineStr">
        <is>
          <t>no tier exists, so nothing is subtracted - it stays at cross = 8</t>
        </is>
      </c>
    </row>
    <row r="8">
      <c r="A8" s="6" t="inlineStr">
        <is>
          <t>Column 3 of the guide's ability tables is the middle figure above and the bracket is the first - i.e.</t>
        </is>
      </c>
    </row>
    <row r="9">
      <c r="A9" s="6" t="inlineStr">
        <is>
          <t>'what a non-origin member of the class pays (what an origin member pays)'. Consistent in meaning.</t>
        </is>
      </c>
    </row>
    <row r="10">
      <c r="A10" s="6" t="inlineStr"/>
    </row>
    <row r="11">
      <c r="A11" s="6" t="inlineStr">
        <is>
          <t>The real asymmetry: unlocking a class cuts 4 AP off that class's FEATURE (17 -&gt; 13) but nothing off</t>
        </is>
      </c>
    </row>
    <row r="12">
      <c r="A12" s="6" t="inlineStr">
        <is>
          <t>its BUNDLE (8 -&gt; 8). Bundles have no sticker tier in the engine at all.</t>
        </is>
      </c>
    </row>
    <row r="13">
      <c r="A13" s="6" t="inlineStr"/>
    </row>
    <row r="14">
      <c r="A14" s="6" t="inlineStr">
        <is>
          <t>As of DATA.version v0.347 a subclass purchase - ability or bundle - from a class you can neither</t>
        </is>
      </c>
    </row>
    <row r="15">
      <c r="A15" s="6" t="inlineStr">
        <is>
          <t>build from nor have unlocked raises a blocking warning. Before that it was silently allowed, and</t>
        </is>
      </c>
    </row>
    <row r="16">
      <c r="A16" s="6" t="inlineStr">
        <is>
          <t>because a bought bundle also claims that class's free subclass, no 15 AP unlock landed either.</t>
        </is>
      </c>
    </row>
    <row r="17">
      <c r="A17" s="6" t="inlineStr"/>
    </row>
    <row r="18">
      <c r="A18" s="6" t="inlineStr">
        <is>
          <t>Neither table shows a discount applied twice. If it were, an Origin AP cell on the 'Per-spell</t>
        </is>
      </c>
    </row>
    <row r="19">
      <c r="A19" s="6" t="inlineStr">
        <is>
          <t>working' sheet would fall below the 1 AP floor. None does.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2026-08-17T12:25:17Z</dcterms:created>
  <dcterms:modified xsi:type="dcterms:W3CDTF">2026-08-17T12:25:17Z</dcterms:modified>
</cp:coreProperties>
</file>